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Master" sheetId="1" r:id="rId5"/>
    <sheet state="visible" name="Daily Log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<sst xmlns="http://schemas.openxmlformats.org/spreadsheetml/2006/main" count="3325" uniqueCount="68">
  <si>
    <t>Task ID</t>
  </si>
  <si>
    <t>Task Title</t>
  </si>
  <si>
    <t>Task Type</t>
  </si>
  <si>
    <t>Status</t>
  </si>
  <si>
    <t>Priority</t>
  </si>
  <si>
    <t>Start Date</t>
  </si>
  <si>
    <t>End Date</t>
  </si>
  <si>
    <t>Estimated Hours</t>
  </si>
  <si>
    <t>Actual Hours</t>
  </si>
  <si>
    <t>Dependencies</t>
  </si>
  <si>
    <t>Remarks</t>
  </si>
  <si>
    <t>T001</t>
  </si>
  <si>
    <t>Fix login API issue</t>
  </si>
  <si>
    <t>Bug</t>
  </si>
  <si>
    <t>Completed</t>
  </si>
  <si>
    <t>High</t>
  </si>
  <si>
    <t>No Dependencies</t>
  </si>
  <si>
    <t>Stage Released</t>
  </si>
  <si>
    <t>T002</t>
  </si>
  <si>
    <t>New Features- boiii</t>
  </si>
  <si>
    <t>Feature222</t>
  </si>
  <si>
    <t>Testing</t>
  </si>
  <si>
    <t>Moved to Staging env</t>
  </si>
  <si>
    <t>Needs clarification of testing</t>
  </si>
  <si>
    <t>T007</t>
  </si>
  <si>
    <t>Email Notification System</t>
  </si>
  <si>
    <t>Feature</t>
  </si>
  <si>
    <t>Medium</t>
  </si>
  <si>
    <t>Database schema finalized</t>
  </si>
  <si>
    <t>Backend API developed, now under testing</t>
  </si>
  <si>
    <t>T008</t>
  </si>
  <si>
    <t>Mobile App Push Notifications</t>
  </si>
  <si>
    <t>In Progress</t>
  </si>
  <si>
    <t>Firebase setup pending</t>
  </si>
  <si>
    <t>Push notification module under development</t>
  </si>
  <si>
    <t/>
  </si>
  <si>
    <t>Date</t>
  </si>
  <si>
    <t>Work Description</t>
  </si>
  <si>
    <t>Hours Spent</t>
  </si>
  <si>
    <t>Status Update</t>
  </si>
  <si>
    <t>Week</t>
  </si>
  <si>
    <t>Month</t>
  </si>
  <si>
    <t>Year</t>
  </si>
  <si>
    <t>Fixed timeout issue and tested</t>
  </si>
  <si>
    <t>Dev Completed</t>
  </si>
  <si>
    <t>Started the work</t>
  </si>
  <si>
    <t>Pending with Data</t>
  </si>
  <si>
    <t>Completed the work</t>
  </si>
  <si>
    <t>Needs clarification</t>
  </si>
  <si>
    <t>Set up email templates and SMTP configuration</t>
  </si>
  <si>
    <t>Backend API being developed</t>
  </si>
  <si>
    <t>Configured Firebase project and initial push API</t>
  </si>
  <si>
    <t>Completed backend API and email template integration</t>
  </si>
  <si>
    <t>Total Tasks</t>
  </si>
  <si>
    <t>Completed Tasks</t>
  </si>
  <si>
    <t>In Progress Tasks</t>
  </si>
  <si>
    <t>Blocked Tasks</t>
  </si>
  <si>
    <t>Total Hours</t>
  </si>
  <si>
    <t>Total Bugs Worked</t>
  </si>
  <si>
    <t>Total Features Worked</t>
  </si>
  <si>
    <t>Total Engineered</t>
  </si>
  <si>
    <t>Total Devops Task</t>
  </si>
  <si>
    <t>Total Bugs Completed</t>
  </si>
  <si>
    <t>Total Features Completed</t>
  </si>
  <si>
    <t>Total Engineered Completed</t>
  </si>
  <si>
    <t>Total Hours worked on Bug</t>
  </si>
  <si>
    <t>Total Hours worked on Features</t>
  </si>
  <si>
    <t>Productivity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</si>
</sst>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7.57"/>
    <col customWidth="1" min="3" max="3" width="13.71"/>
    <col customWidth="1" min="4" max="4" width="13.29"/>
    <col customWidth="1" min="5" max="5" width="7.43"/>
    <col customWidth="1" min="6" max="7" width="10.86"/>
    <col customWidth="1" min="8" max="8" width="15.14"/>
    <col customWidth="1" min="9" max="9" width="12.0"/>
    <col customWidth="1" min="10" max="10" width="13.14"/>
    <col customWidth="1" min="11" max="11" width="16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>
        <f>IFERROR(__xludf.DUMMYFUNCTION("ARRAYFORMULA(IF(A2:A805="""", """", BYROW(A2:A805, LAMBDA(task, IFERROR(MIN(FILTER('Daily Log'!A:A, 'Daily Log'!B:B=task)), """")))))"),46112.0)</f>
        <v>46112</v>
      </c>
      <c r="G2" s="5">
        <v>46118.0</v>
      </c>
      <c r="H2" s="6">
        <v>5.0</v>
      </c>
      <c r="I2" s="1">
        <f t="array" ref="I2:I805">IF(A2:A805="", "", IFERROR(VLOOKUP(A2:A805, { 'Daily Log'!B:B, SUMIF('Daily Log'!B:B, 'Daily Log'!B:B, 'Daily Log'!E:E) }, 2, FALSE), 0))</f>
        <v>8</v>
      </c>
      <c r="J2" s="3" t="s">
        <v>16</v>
      </c>
      <c r="K2" s="3" t="s">
        <v>17</v>
      </c>
    </row>
    <row r="3" ht="14.2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15</v>
      </c>
      <c r="F3" s="4">
        <f>IFERROR(__xludf.DUMMYFUNCTION("""COMPUTED_VALUE"""),46003.0)</f>
        <v>46003</v>
      </c>
      <c r="G3" s="5">
        <v>46119.0</v>
      </c>
      <c r="H3" s="6">
        <v>20.0</v>
      </c>
      <c r="I3" s="1">
        <v>31.0</v>
      </c>
      <c r="J3" s="3" t="s">
        <v>22</v>
      </c>
      <c r="K3" s="3" t="s">
        <v>23</v>
      </c>
    </row>
    <row r="4" ht="14.25" customHeight="1">
      <c r="A4" s="3" t="s">
        <v>24</v>
      </c>
      <c r="B4" s="3" t="s">
        <v>25</v>
      </c>
      <c r="C4" s="3" t="s">
        <v>26</v>
      </c>
      <c r="D4" s="3" t="s">
        <v>21</v>
      </c>
      <c r="E4" s="3" t="s">
        <v>27</v>
      </c>
      <c r="F4" s="2">
        <f>IFERROR(__xludf.DUMMYFUNCTION("""COMPUTED_VALUE"""),46119.0)</f>
        <v>46119</v>
      </c>
      <c r="G4" s="5">
        <v>46120.0</v>
      </c>
      <c r="H4" s="6">
        <v>30.0</v>
      </c>
      <c r="I4" s="1">
        <v>12.0</v>
      </c>
      <c r="J4" s="3" t="s">
        <v>28</v>
      </c>
      <c r="K4" s="3" t="s">
        <v>29</v>
      </c>
    </row>
    <row r="5" ht="14.25" customHeight="1">
      <c r="A5" s="3" t="s">
        <v>30</v>
      </c>
      <c r="B5" s="3" t="s">
        <v>31</v>
      </c>
      <c r="C5" s="3" t="s">
        <v>26</v>
      </c>
      <c r="D5" s="3" t="s">
        <v>32</v>
      </c>
      <c r="E5" s="3" t="s">
        <v>15</v>
      </c>
      <c r="F5" s="2">
        <f>IFERROR(__xludf.DUMMYFUNCTION("""COMPUTED_VALUE"""),46119.0)</f>
        <v>46119</v>
      </c>
      <c r="H5" s="6">
        <v>40.0</v>
      </c>
      <c r="I5" s="1">
        <v>4.0</v>
      </c>
      <c r="J5" s="3" t="s">
        <v>33</v>
      </c>
      <c r="K5" s="3" t="s">
        <v>34</v>
      </c>
    </row>
    <row r="6" ht="14.25" customHeight="1">
      <c r="C6" s="1"/>
      <c r="D6" s="1"/>
      <c r="F6" s="2" t="str">
        <f>IFERROR(__xludf.DUMMYFUNCTION("""COMPUTED_VALUE"""),"")</f>
        <v/>
      </c>
      <c r="I6" s="1" t="s">
        <v>35</v>
      </c>
    </row>
    <row r="7" ht="14.25" customHeight="1">
      <c r="C7" s="1"/>
      <c r="D7" s="1"/>
      <c r="F7" s="2" t="str">
        <f>IFERROR(__xludf.DUMMYFUNCTION("""COMPUTED_VALUE"""),"")</f>
        <v/>
      </c>
      <c r="I7" s="1" t="s">
        <v>35</v>
      </c>
    </row>
    <row r="8" ht="14.25" customHeight="1">
      <c r="C8" s="1"/>
      <c r="D8" s="1"/>
      <c r="F8" s="2" t="str">
        <f>IFERROR(__xludf.DUMMYFUNCTION("""COMPUTED_VALUE"""),"")</f>
        <v/>
      </c>
      <c r="I8" s="1" t="s">
        <v>35</v>
      </c>
    </row>
    <row r="9" ht="14.25" customHeight="1">
      <c r="C9" s="1"/>
      <c r="D9" s="1"/>
      <c r="F9" s="2" t="str">
        <f>IFERROR(__xludf.DUMMYFUNCTION("""COMPUTED_VALUE"""),"")</f>
        <v/>
      </c>
      <c r="I9" s="1" t="s">
        <v>35</v>
      </c>
    </row>
    <row r="10" ht="14.25" customHeight="1">
      <c r="C10" s="1"/>
      <c r="D10" s="1"/>
      <c r="F10" s="2" t="str">
        <f>IFERROR(__xludf.DUMMYFUNCTION("""COMPUTED_VALUE"""),"")</f>
        <v/>
      </c>
      <c r="I10" s="1" t="s">
        <v>35</v>
      </c>
    </row>
    <row r="11" ht="14.25" customHeight="1">
      <c r="C11" s="1"/>
      <c r="D11" s="1"/>
      <c r="F11" s="2" t="str">
        <f>IFERROR(__xludf.DUMMYFUNCTION("""COMPUTED_VALUE"""),"")</f>
        <v/>
      </c>
      <c r="I11" s="1" t="s">
        <v>35</v>
      </c>
    </row>
    <row r="12" ht="14.25" customHeight="1">
      <c r="C12" s="1"/>
      <c r="D12" s="1"/>
      <c r="F12" s="2" t="str">
        <f>IFERROR(__xludf.DUMMYFUNCTION("""COMPUTED_VALUE"""),"")</f>
        <v/>
      </c>
      <c r="I12" s="1" t="s">
        <v>35</v>
      </c>
    </row>
    <row r="13" ht="14.25" customHeight="1">
      <c r="C13" s="1"/>
      <c r="D13" s="1"/>
      <c r="F13" s="2" t="str">
        <f>IFERROR(__xludf.DUMMYFUNCTION("""COMPUTED_VALUE"""),"")</f>
        <v/>
      </c>
      <c r="I13" s="1" t="s">
        <v>35</v>
      </c>
    </row>
    <row r="14" ht="14.25" customHeight="1">
      <c r="C14" s="1"/>
      <c r="D14" s="1"/>
      <c r="F14" s="2" t="str">
        <f>IFERROR(__xludf.DUMMYFUNCTION("""COMPUTED_VALUE"""),"")</f>
        <v/>
      </c>
      <c r="I14" s="1" t="s">
        <v>35</v>
      </c>
    </row>
    <row r="15" ht="14.25" customHeight="1">
      <c r="C15" s="1"/>
      <c r="D15" s="1"/>
      <c r="F15" s="2" t="str">
        <f>IFERROR(__xludf.DUMMYFUNCTION("""COMPUTED_VALUE"""),"")</f>
        <v/>
      </c>
      <c r="I15" s="1" t="s">
        <v>35</v>
      </c>
    </row>
    <row r="16" ht="14.25" customHeight="1">
      <c r="C16" s="1"/>
      <c r="D16" s="1"/>
      <c r="F16" s="2" t="str">
        <f>IFERROR(__xludf.DUMMYFUNCTION("""COMPUTED_VALUE"""),"")</f>
        <v/>
      </c>
      <c r="I16" s="1" t="s">
        <v>35</v>
      </c>
    </row>
    <row r="17" ht="14.25" customHeight="1">
      <c r="C17" s="1"/>
      <c r="D17" s="1"/>
      <c r="F17" s="2" t="str">
        <f>IFERROR(__xludf.DUMMYFUNCTION("""COMPUTED_VALUE"""),"")</f>
        <v/>
      </c>
      <c r="I17" s="1" t="s">
        <v>35</v>
      </c>
    </row>
    <row r="18" ht="14.25" customHeight="1">
      <c r="C18" s="1"/>
      <c r="D18" s="1"/>
      <c r="F18" s="2" t="str">
        <f>IFERROR(__xludf.DUMMYFUNCTION("""COMPUTED_VALUE"""),"")</f>
        <v/>
      </c>
      <c r="I18" s="1" t="s">
        <v>35</v>
      </c>
    </row>
    <row r="19" ht="14.25" customHeight="1">
      <c r="C19" s="1"/>
      <c r="D19" s="1"/>
      <c r="F19" s="2" t="str">
        <f>IFERROR(__xludf.DUMMYFUNCTION("""COMPUTED_VALUE"""),"")</f>
        <v/>
      </c>
      <c r="I19" s="1" t="s">
        <v>35</v>
      </c>
    </row>
    <row r="20" ht="14.25" customHeight="1">
      <c r="C20" s="1"/>
      <c r="D20" s="1"/>
      <c r="F20" s="2" t="str">
        <f>IFERROR(__xludf.DUMMYFUNCTION("""COMPUTED_VALUE"""),"")</f>
        <v/>
      </c>
      <c r="I20" s="1" t="s">
        <v>35</v>
      </c>
    </row>
    <row r="21" ht="14.25" customHeight="1">
      <c r="C21" s="1"/>
      <c r="D21" s="1"/>
      <c r="F21" s="2" t="str">
        <f>IFERROR(__xludf.DUMMYFUNCTION("""COMPUTED_VALUE"""),"")</f>
        <v/>
      </c>
      <c r="I21" s="1" t="s">
        <v>35</v>
      </c>
    </row>
    <row r="22" ht="14.25" customHeight="1">
      <c r="C22" s="1"/>
      <c r="D22" s="1"/>
      <c r="F22" s="2" t="str">
        <f>IFERROR(__xludf.DUMMYFUNCTION("""COMPUTED_VALUE"""),"")</f>
        <v/>
      </c>
      <c r="I22" s="1" t="s">
        <v>35</v>
      </c>
    </row>
    <row r="23" ht="14.25" customHeight="1">
      <c r="C23" s="1"/>
      <c r="D23" s="1"/>
      <c r="F23" s="2" t="str">
        <f>IFERROR(__xludf.DUMMYFUNCTION("""COMPUTED_VALUE"""),"")</f>
        <v/>
      </c>
      <c r="I23" s="1" t="s">
        <v>35</v>
      </c>
    </row>
    <row r="24" ht="14.25" customHeight="1">
      <c r="C24" s="1"/>
      <c r="D24" s="1"/>
      <c r="F24" s="2" t="str">
        <f>IFERROR(__xludf.DUMMYFUNCTION("""COMPUTED_VALUE"""),"")</f>
        <v/>
      </c>
      <c r="I24" s="1" t="s">
        <v>35</v>
      </c>
    </row>
    <row r="25" ht="14.25" customHeight="1">
      <c r="C25" s="1"/>
      <c r="D25" s="1"/>
      <c r="F25" s="2" t="str">
        <f>IFERROR(__xludf.DUMMYFUNCTION("""COMPUTED_VALUE"""),"")</f>
        <v/>
      </c>
      <c r="I25" s="1" t="s">
        <v>35</v>
      </c>
    </row>
    <row r="26" ht="14.25" customHeight="1">
      <c r="C26" s="1"/>
      <c r="D26" s="1"/>
      <c r="F26" s="2" t="str">
        <f>IFERROR(__xludf.DUMMYFUNCTION("""COMPUTED_VALUE"""),"")</f>
        <v/>
      </c>
      <c r="I26" s="1" t="s">
        <v>35</v>
      </c>
    </row>
    <row r="27" ht="14.25" customHeight="1">
      <c r="C27" s="1"/>
      <c r="D27" s="1"/>
      <c r="F27" s="2" t="str">
        <f>IFERROR(__xludf.DUMMYFUNCTION("""COMPUTED_VALUE"""),"")</f>
        <v/>
      </c>
      <c r="I27" s="1" t="s">
        <v>35</v>
      </c>
    </row>
    <row r="28" ht="14.25" customHeight="1">
      <c r="C28" s="1"/>
      <c r="D28" s="1"/>
      <c r="F28" s="2" t="str">
        <f>IFERROR(__xludf.DUMMYFUNCTION("""COMPUTED_VALUE"""),"")</f>
        <v/>
      </c>
      <c r="I28" s="1" t="s">
        <v>35</v>
      </c>
    </row>
    <row r="29" ht="14.25" customHeight="1">
      <c r="C29" s="1"/>
      <c r="D29" s="1"/>
      <c r="F29" s="2" t="str">
        <f>IFERROR(__xludf.DUMMYFUNCTION("""COMPUTED_VALUE"""),"")</f>
        <v/>
      </c>
      <c r="I29" s="1" t="s">
        <v>35</v>
      </c>
    </row>
    <row r="30" ht="14.25" customHeight="1">
      <c r="C30" s="1"/>
      <c r="D30" s="1"/>
      <c r="F30" s="2" t="str">
        <f>IFERROR(__xludf.DUMMYFUNCTION("""COMPUTED_VALUE"""),"")</f>
        <v/>
      </c>
      <c r="I30" s="1" t="s">
        <v>35</v>
      </c>
    </row>
    <row r="31" ht="14.25" customHeight="1">
      <c r="C31" s="1"/>
      <c r="D31" s="1"/>
      <c r="F31" s="2" t="str">
        <f>IFERROR(__xludf.DUMMYFUNCTION("""COMPUTED_VALUE"""),"")</f>
        <v/>
      </c>
      <c r="I31" s="1" t="s">
        <v>35</v>
      </c>
    </row>
    <row r="32" ht="14.25" customHeight="1">
      <c r="C32" s="1"/>
      <c r="D32" s="1"/>
      <c r="F32" s="2" t="str">
        <f>IFERROR(__xludf.DUMMYFUNCTION("""COMPUTED_VALUE"""),"")</f>
        <v/>
      </c>
      <c r="I32" s="1" t="s">
        <v>35</v>
      </c>
    </row>
    <row r="33" ht="14.25" customHeight="1">
      <c r="C33" s="1"/>
      <c r="D33" s="1"/>
      <c r="F33" s="2" t="str">
        <f>IFERROR(__xludf.DUMMYFUNCTION("""COMPUTED_VALUE"""),"")</f>
        <v/>
      </c>
      <c r="I33" s="1" t="s">
        <v>35</v>
      </c>
    </row>
    <row r="34" ht="14.25" customHeight="1">
      <c r="C34" s="1"/>
      <c r="D34" s="1"/>
      <c r="F34" s="2" t="str">
        <f>IFERROR(__xludf.DUMMYFUNCTION("""COMPUTED_VALUE"""),"")</f>
        <v/>
      </c>
      <c r="I34" s="1" t="s">
        <v>35</v>
      </c>
    </row>
    <row r="35" ht="14.25" customHeight="1">
      <c r="C35" s="1"/>
      <c r="D35" s="1"/>
      <c r="F35" s="2" t="str">
        <f>IFERROR(__xludf.DUMMYFUNCTION("""COMPUTED_VALUE"""),"")</f>
        <v/>
      </c>
      <c r="I35" s="1" t="s">
        <v>35</v>
      </c>
    </row>
    <row r="36" ht="14.25" customHeight="1">
      <c r="C36" s="1"/>
      <c r="D36" s="1"/>
      <c r="F36" s="2" t="str">
        <f>IFERROR(__xludf.DUMMYFUNCTION("""COMPUTED_VALUE"""),"")</f>
        <v/>
      </c>
      <c r="I36" s="1" t="s">
        <v>35</v>
      </c>
    </row>
    <row r="37" ht="14.25" customHeight="1">
      <c r="C37" s="1"/>
      <c r="D37" s="1"/>
      <c r="F37" s="2" t="str">
        <f>IFERROR(__xludf.DUMMYFUNCTION("""COMPUTED_VALUE"""),"")</f>
        <v/>
      </c>
      <c r="I37" s="1" t="s">
        <v>35</v>
      </c>
    </row>
    <row r="38" ht="14.25" customHeight="1">
      <c r="C38" s="1"/>
      <c r="D38" s="1"/>
      <c r="F38" s="2" t="str">
        <f>IFERROR(__xludf.DUMMYFUNCTION("""COMPUTED_VALUE"""),"")</f>
        <v/>
      </c>
      <c r="I38" s="1" t="s">
        <v>35</v>
      </c>
    </row>
    <row r="39" ht="14.25" customHeight="1">
      <c r="C39" s="1"/>
      <c r="D39" s="1"/>
      <c r="F39" s="2" t="str">
        <f>IFERROR(__xludf.DUMMYFUNCTION("""COMPUTED_VALUE"""),"")</f>
        <v/>
      </c>
      <c r="I39" s="1" t="s">
        <v>35</v>
      </c>
    </row>
    <row r="40" ht="14.25" customHeight="1">
      <c r="C40" s="1"/>
      <c r="D40" s="1"/>
      <c r="F40" s="2" t="str">
        <f>IFERROR(__xludf.DUMMYFUNCTION("""COMPUTED_VALUE"""),"")</f>
        <v/>
      </c>
      <c r="I40" s="1" t="s">
        <v>35</v>
      </c>
    </row>
    <row r="41" ht="14.25" customHeight="1">
      <c r="C41" s="1"/>
      <c r="D41" s="1"/>
      <c r="F41" s="2" t="str">
        <f>IFERROR(__xludf.DUMMYFUNCTION("""COMPUTED_VALUE"""),"")</f>
        <v/>
      </c>
      <c r="I41" s="1" t="s">
        <v>35</v>
      </c>
    </row>
    <row r="42" ht="14.25" customHeight="1">
      <c r="C42" s="1"/>
      <c r="D42" s="1"/>
      <c r="F42" s="2" t="str">
        <f>IFERROR(__xludf.DUMMYFUNCTION("""COMPUTED_VALUE"""),"")</f>
        <v/>
      </c>
      <c r="I42" s="1" t="s">
        <v>35</v>
      </c>
    </row>
    <row r="43" ht="14.25" customHeight="1">
      <c r="C43" s="1"/>
      <c r="D43" s="1"/>
      <c r="F43" s="2" t="str">
        <f>IFERROR(__xludf.DUMMYFUNCTION("""COMPUTED_VALUE"""),"")</f>
        <v/>
      </c>
      <c r="I43" s="1" t="s">
        <v>35</v>
      </c>
    </row>
    <row r="44" ht="14.25" customHeight="1">
      <c r="C44" s="1"/>
      <c r="D44" s="1"/>
      <c r="F44" s="2" t="str">
        <f>IFERROR(__xludf.DUMMYFUNCTION("""COMPUTED_VALUE"""),"")</f>
        <v/>
      </c>
      <c r="I44" s="1" t="s">
        <v>35</v>
      </c>
    </row>
    <row r="45" ht="14.25" customHeight="1">
      <c r="C45" s="1"/>
      <c r="D45" s="1"/>
      <c r="F45" s="2" t="str">
        <f>IFERROR(__xludf.DUMMYFUNCTION("""COMPUTED_VALUE"""),"")</f>
        <v/>
      </c>
      <c r="I45" s="1" t="s">
        <v>35</v>
      </c>
    </row>
    <row r="46" ht="14.25" customHeight="1">
      <c r="C46" s="1"/>
      <c r="D46" s="1"/>
      <c r="F46" s="2" t="str">
        <f>IFERROR(__xludf.DUMMYFUNCTION("""COMPUTED_VALUE"""),"")</f>
        <v/>
      </c>
      <c r="I46" s="1" t="s">
        <v>35</v>
      </c>
    </row>
    <row r="47" ht="14.25" customHeight="1">
      <c r="C47" s="1"/>
      <c r="D47" s="1"/>
      <c r="F47" s="2" t="str">
        <f>IFERROR(__xludf.DUMMYFUNCTION("""COMPUTED_VALUE"""),"")</f>
        <v/>
      </c>
      <c r="I47" s="1" t="s">
        <v>35</v>
      </c>
    </row>
    <row r="48" ht="14.25" customHeight="1">
      <c r="C48" s="1"/>
      <c r="D48" s="1"/>
      <c r="F48" s="2" t="str">
        <f>IFERROR(__xludf.DUMMYFUNCTION("""COMPUTED_VALUE"""),"")</f>
        <v/>
      </c>
      <c r="I48" s="1" t="s">
        <v>35</v>
      </c>
    </row>
    <row r="49" ht="14.25" customHeight="1">
      <c r="C49" s="1"/>
      <c r="D49" s="1"/>
      <c r="F49" s="2" t="str">
        <f>IFERROR(__xludf.DUMMYFUNCTION("""COMPUTED_VALUE"""),"")</f>
        <v/>
      </c>
      <c r="I49" s="1" t="s">
        <v>35</v>
      </c>
    </row>
    <row r="50" ht="14.25" customHeight="1">
      <c r="C50" s="1"/>
      <c r="D50" s="1"/>
      <c r="F50" s="2" t="str">
        <f>IFERROR(__xludf.DUMMYFUNCTION("""COMPUTED_VALUE"""),"")</f>
        <v/>
      </c>
      <c r="I50" s="1" t="s">
        <v>35</v>
      </c>
    </row>
    <row r="51" ht="14.25" customHeight="1">
      <c r="C51" s="1"/>
      <c r="D51" s="1"/>
      <c r="F51" s="2" t="str">
        <f>IFERROR(__xludf.DUMMYFUNCTION("""COMPUTED_VALUE"""),"")</f>
        <v/>
      </c>
      <c r="I51" s="1" t="s">
        <v>35</v>
      </c>
    </row>
    <row r="52" ht="14.25" customHeight="1">
      <c r="C52" s="1"/>
      <c r="D52" s="1"/>
      <c r="F52" s="2" t="str">
        <f>IFERROR(__xludf.DUMMYFUNCTION("""COMPUTED_VALUE"""),"")</f>
        <v/>
      </c>
      <c r="I52" s="1" t="s">
        <v>35</v>
      </c>
    </row>
    <row r="53" ht="14.25" customHeight="1">
      <c r="C53" s="1"/>
      <c r="D53" s="1"/>
      <c r="F53" s="2" t="str">
        <f>IFERROR(__xludf.DUMMYFUNCTION("""COMPUTED_VALUE"""),"")</f>
        <v/>
      </c>
      <c r="I53" s="1" t="s">
        <v>35</v>
      </c>
    </row>
    <row r="54" ht="14.25" customHeight="1">
      <c r="C54" s="1"/>
      <c r="D54" s="1"/>
      <c r="F54" s="2" t="str">
        <f>IFERROR(__xludf.DUMMYFUNCTION("""COMPUTED_VALUE"""),"")</f>
        <v/>
      </c>
      <c r="I54" s="1" t="s">
        <v>35</v>
      </c>
    </row>
    <row r="55" ht="14.25" customHeight="1">
      <c r="C55" s="1"/>
      <c r="D55" s="1"/>
      <c r="F55" s="2" t="str">
        <f>IFERROR(__xludf.DUMMYFUNCTION("""COMPUTED_VALUE"""),"")</f>
        <v/>
      </c>
      <c r="I55" s="1" t="s">
        <v>35</v>
      </c>
    </row>
    <row r="56" ht="14.25" customHeight="1">
      <c r="C56" s="1"/>
      <c r="D56" s="1"/>
      <c r="F56" s="2" t="str">
        <f>IFERROR(__xludf.DUMMYFUNCTION("""COMPUTED_VALUE"""),"")</f>
        <v/>
      </c>
      <c r="I56" s="1" t="s">
        <v>35</v>
      </c>
    </row>
    <row r="57" ht="14.25" customHeight="1">
      <c r="C57" s="1"/>
      <c r="D57" s="1"/>
      <c r="F57" s="2" t="str">
        <f>IFERROR(__xludf.DUMMYFUNCTION("""COMPUTED_VALUE"""),"")</f>
        <v/>
      </c>
      <c r="I57" s="1" t="s">
        <v>35</v>
      </c>
    </row>
    <row r="58" ht="14.25" customHeight="1">
      <c r="C58" s="1"/>
      <c r="D58" s="1"/>
      <c r="F58" s="2" t="str">
        <f>IFERROR(__xludf.DUMMYFUNCTION("""COMPUTED_VALUE"""),"")</f>
        <v/>
      </c>
      <c r="I58" s="1" t="s">
        <v>35</v>
      </c>
    </row>
    <row r="59" ht="14.25" customHeight="1">
      <c r="C59" s="1"/>
      <c r="D59" s="1"/>
      <c r="F59" s="2" t="str">
        <f>IFERROR(__xludf.DUMMYFUNCTION("""COMPUTED_VALUE"""),"")</f>
        <v/>
      </c>
      <c r="I59" s="1" t="s">
        <v>35</v>
      </c>
    </row>
    <row r="60" ht="14.25" customHeight="1">
      <c r="C60" s="1"/>
      <c r="D60" s="1"/>
      <c r="F60" s="2" t="str">
        <f>IFERROR(__xludf.DUMMYFUNCTION("""COMPUTED_VALUE"""),"")</f>
        <v/>
      </c>
      <c r="I60" s="1" t="s">
        <v>35</v>
      </c>
    </row>
    <row r="61" ht="14.25" customHeight="1">
      <c r="C61" s="1"/>
      <c r="D61" s="1"/>
      <c r="F61" s="2" t="str">
        <f>IFERROR(__xludf.DUMMYFUNCTION("""COMPUTED_VALUE"""),"")</f>
        <v/>
      </c>
      <c r="I61" s="1" t="s">
        <v>35</v>
      </c>
    </row>
    <row r="62" ht="14.25" customHeight="1">
      <c r="C62" s="1"/>
      <c r="D62" s="1"/>
      <c r="F62" s="2" t="str">
        <f>IFERROR(__xludf.DUMMYFUNCTION("""COMPUTED_VALUE"""),"")</f>
        <v/>
      </c>
      <c r="I62" s="1" t="s">
        <v>35</v>
      </c>
    </row>
    <row r="63" ht="14.25" customHeight="1">
      <c r="C63" s="1"/>
      <c r="D63" s="1"/>
      <c r="F63" s="2" t="str">
        <f>IFERROR(__xludf.DUMMYFUNCTION("""COMPUTED_VALUE"""),"")</f>
        <v/>
      </c>
      <c r="I63" s="1" t="s">
        <v>35</v>
      </c>
    </row>
    <row r="64" ht="14.25" customHeight="1">
      <c r="C64" s="1"/>
      <c r="D64" s="1"/>
      <c r="F64" s="2" t="str">
        <f>IFERROR(__xludf.DUMMYFUNCTION("""COMPUTED_VALUE"""),"")</f>
        <v/>
      </c>
      <c r="I64" s="1" t="s">
        <v>35</v>
      </c>
    </row>
    <row r="65" ht="14.25" customHeight="1">
      <c r="C65" s="1"/>
      <c r="D65" s="1"/>
      <c r="F65" s="2" t="str">
        <f>IFERROR(__xludf.DUMMYFUNCTION("""COMPUTED_VALUE"""),"")</f>
        <v/>
      </c>
      <c r="I65" s="1" t="s">
        <v>35</v>
      </c>
    </row>
    <row r="66" ht="14.25" customHeight="1">
      <c r="C66" s="1"/>
      <c r="D66" s="1"/>
      <c r="F66" s="2" t="str">
        <f>IFERROR(__xludf.DUMMYFUNCTION("""COMPUTED_VALUE"""),"")</f>
        <v/>
      </c>
      <c r="I66" s="1" t="s">
        <v>35</v>
      </c>
    </row>
    <row r="67" ht="14.25" customHeight="1">
      <c r="C67" s="1"/>
      <c r="D67" s="1"/>
      <c r="F67" s="2" t="str">
        <f>IFERROR(__xludf.DUMMYFUNCTION("""COMPUTED_VALUE"""),"")</f>
        <v/>
      </c>
      <c r="I67" s="1" t="s">
        <v>35</v>
      </c>
    </row>
    <row r="68" ht="14.25" customHeight="1">
      <c r="C68" s="1"/>
      <c r="D68" s="1"/>
      <c r="F68" s="2" t="str">
        <f>IFERROR(__xludf.DUMMYFUNCTION("""COMPUTED_VALUE"""),"")</f>
        <v/>
      </c>
      <c r="I68" s="1" t="s">
        <v>35</v>
      </c>
    </row>
    <row r="69" ht="14.25" customHeight="1">
      <c r="C69" s="1"/>
      <c r="D69" s="1"/>
      <c r="F69" s="2" t="str">
        <f>IFERROR(__xludf.DUMMYFUNCTION("""COMPUTED_VALUE"""),"")</f>
        <v/>
      </c>
      <c r="I69" s="1" t="s">
        <v>35</v>
      </c>
    </row>
    <row r="70" ht="14.25" customHeight="1">
      <c r="C70" s="1"/>
      <c r="D70" s="1"/>
      <c r="F70" s="2" t="str">
        <f>IFERROR(__xludf.DUMMYFUNCTION("""COMPUTED_VALUE"""),"")</f>
        <v/>
      </c>
      <c r="I70" s="1" t="s">
        <v>35</v>
      </c>
    </row>
    <row r="71" ht="14.25" customHeight="1">
      <c r="C71" s="1"/>
      <c r="D71" s="1"/>
      <c r="F71" s="2" t="str">
        <f>IFERROR(__xludf.DUMMYFUNCTION("""COMPUTED_VALUE"""),"")</f>
        <v/>
      </c>
      <c r="I71" s="1" t="s">
        <v>35</v>
      </c>
    </row>
    <row r="72" ht="14.25" customHeight="1">
      <c r="C72" s="1"/>
      <c r="D72" s="1"/>
      <c r="F72" s="2" t="str">
        <f>IFERROR(__xludf.DUMMYFUNCTION("""COMPUTED_VALUE"""),"")</f>
        <v/>
      </c>
      <c r="I72" s="1" t="s">
        <v>35</v>
      </c>
    </row>
    <row r="73" ht="14.25" customHeight="1">
      <c r="C73" s="1"/>
      <c r="D73" s="1"/>
      <c r="F73" s="2" t="str">
        <f>IFERROR(__xludf.DUMMYFUNCTION("""COMPUTED_VALUE"""),"")</f>
        <v/>
      </c>
      <c r="I73" s="1" t="s">
        <v>35</v>
      </c>
    </row>
    <row r="74" ht="14.25" customHeight="1">
      <c r="C74" s="1"/>
      <c r="D74" s="1"/>
      <c r="F74" s="2" t="str">
        <f>IFERROR(__xludf.DUMMYFUNCTION("""COMPUTED_VALUE"""),"")</f>
        <v/>
      </c>
      <c r="I74" s="1" t="s">
        <v>35</v>
      </c>
    </row>
    <row r="75" ht="14.25" customHeight="1">
      <c r="C75" s="1"/>
      <c r="D75" s="1"/>
      <c r="F75" s="2" t="str">
        <f>IFERROR(__xludf.DUMMYFUNCTION("""COMPUTED_VALUE"""),"")</f>
        <v/>
      </c>
      <c r="I75" s="1" t="s">
        <v>35</v>
      </c>
    </row>
    <row r="76" ht="14.25" customHeight="1">
      <c r="C76" s="1"/>
      <c r="D76" s="1"/>
      <c r="F76" s="2" t="str">
        <f>IFERROR(__xludf.DUMMYFUNCTION("""COMPUTED_VALUE"""),"")</f>
        <v/>
      </c>
      <c r="I76" s="1" t="s">
        <v>35</v>
      </c>
    </row>
    <row r="77" ht="14.25" customHeight="1">
      <c r="C77" s="1"/>
      <c r="D77" s="1"/>
      <c r="F77" s="2" t="str">
        <f>IFERROR(__xludf.DUMMYFUNCTION("""COMPUTED_VALUE"""),"")</f>
        <v/>
      </c>
      <c r="I77" s="1" t="s">
        <v>35</v>
      </c>
    </row>
    <row r="78" ht="14.25" customHeight="1">
      <c r="C78" s="1"/>
      <c r="D78" s="1"/>
      <c r="F78" s="2" t="str">
        <f>IFERROR(__xludf.DUMMYFUNCTION("""COMPUTED_VALUE"""),"")</f>
        <v/>
      </c>
      <c r="I78" s="1" t="s">
        <v>35</v>
      </c>
    </row>
    <row r="79" ht="14.25" customHeight="1">
      <c r="C79" s="1"/>
      <c r="D79" s="1"/>
      <c r="F79" s="2" t="str">
        <f>IFERROR(__xludf.DUMMYFUNCTION("""COMPUTED_VALUE"""),"")</f>
        <v/>
      </c>
      <c r="I79" s="1" t="s">
        <v>35</v>
      </c>
    </row>
    <row r="80" ht="14.25" customHeight="1">
      <c r="C80" s="1"/>
      <c r="D80" s="1"/>
      <c r="F80" s="2" t="str">
        <f>IFERROR(__xludf.DUMMYFUNCTION("""COMPUTED_VALUE"""),"")</f>
        <v/>
      </c>
      <c r="I80" s="1" t="s">
        <v>35</v>
      </c>
    </row>
    <row r="81" ht="14.25" customHeight="1">
      <c r="C81" s="1"/>
      <c r="D81" s="1"/>
      <c r="F81" s="2" t="str">
        <f>IFERROR(__xludf.DUMMYFUNCTION("""COMPUTED_VALUE"""),"")</f>
        <v/>
      </c>
      <c r="I81" s="1" t="s">
        <v>35</v>
      </c>
    </row>
    <row r="82" ht="14.25" customHeight="1">
      <c r="C82" s="1"/>
      <c r="D82" s="1"/>
      <c r="F82" s="2" t="str">
        <f>IFERROR(__xludf.DUMMYFUNCTION("""COMPUTED_VALUE"""),"")</f>
        <v/>
      </c>
      <c r="I82" s="1" t="s">
        <v>35</v>
      </c>
    </row>
    <row r="83" ht="14.25" customHeight="1">
      <c r="C83" s="1"/>
      <c r="D83" s="1"/>
      <c r="F83" s="2" t="str">
        <f>IFERROR(__xludf.DUMMYFUNCTION("""COMPUTED_VALUE"""),"")</f>
        <v/>
      </c>
      <c r="I83" s="1" t="s">
        <v>35</v>
      </c>
    </row>
    <row r="84" ht="14.25" customHeight="1">
      <c r="C84" s="1"/>
      <c r="D84" s="1"/>
      <c r="F84" s="2" t="str">
        <f>IFERROR(__xludf.DUMMYFUNCTION("""COMPUTED_VALUE"""),"")</f>
        <v/>
      </c>
      <c r="I84" s="1" t="s">
        <v>35</v>
      </c>
    </row>
    <row r="85" ht="14.25" customHeight="1">
      <c r="C85" s="1"/>
      <c r="D85" s="1"/>
      <c r="F85" s="2" t="str">
        <f>IFERROR(__xludf.DUMMYFUNCTION("""COMPUTED_VALUE"""),"")</f>
        <v/>
      </c>
      <c r="I85" s="1" t="s">
        <v>35</v>
      </c>
    </row>
    <row r="86" ht="14.25" customHeight="1">
      <c r="C86" s="1"/>
      <c r="D86" s="1"/>
      <c r="F86" s="2" t="str">
        <f>IFERROR(__xludf.DUMMYFUNCTION("""COMPUTED_VALUE"""),"")</f>
        <v/>
      </c>
      <c r="I86" s="1" t="s">
        <v>35</v>
      </c>
    </row>
    <row r="87" ht="14.25" customHeight="1">
      <c r="C87" s="1"/>
      <c r="D87" s="1"/>
      <c r="F87" s="2" t="str">
        <f>IFERROR(__xludf.DUMMYFUNCTION("""COMPUTED_VALUE"""),"")</f>
        <v/>
      </c>
      <c r="I87" s="1" t="s">
        <v>35</v>
      </c>
    </row>
    <row r="88" ht="14.25" customHeight="1">
      <c r="C88" s="1"/>
      <c r="D88" s="1"/>
      <c r="F88" s="2" t="str">
        <f>IFERROR(__xludf.DUMMYFUNCTION("""COMPUTED_VALUE"""),"")</f>
        <v/>
      </c>
      <c r="I88" s="1" t="s">
        <v>35</v>
      </c>
    </row>
    <row r="89" ht="14.25" customHeight="1">
      <c r="C89" s="1"/>
      <c r="D89" s="1"/>
      <c r="F89" s="2" t="str">
        <f>IFERROR(__xludf.DUMMYFUNCTION("""COMPUTED_VALUE"""),"")</f>
        <v/>
      </c>
      <c r="I89" s="1" t="s">
        <v>35</v>
      </c>
    </row>
    <row r="90" ht="14.25" customHeight="1">
      <c r="C90" s="1"/>
      <c r="D90" s="1"/>
      <c r="F90" s="2" t="str">
        <f>IFERROR(__xludf.DUMMYFUNCTION("""COMPUTED_VALUE"""),"")</f>
        <v/>
      </c>
      <c r="I90" s="1" t="s">
        <v>35</v>
      </c>
    </row>
    <row r="91" ht="14.25" customHeight="1">
      <c r="C91" s="1"/>
      <c r="D91" s="1"/>
      <c r="F91" s="2" t="str">
        <f>IFERROR(__xludf.DUMMYFUNCTION("""COMPUTED_VALUE"""),"")</f>
        <v/>
      </c>
      <c r="I91" s="1" t="s">
        <v>35</v>
      </c>
    </row>
    <row r="92" ht="14.25" customHeight="1">
      <c r="C92" s="1"/>
      <c r="D92" s="1"/>
      <c r="F92" s="2" t="str">
        <f>IFERROR(__xludf.DUMMYFUNCTION("""COMPUTED_VALUE"""),"")</f>
        <v/>
      </c>
      <c r="I92" s="1" t="s">
        <v>35</v>
      </c>
    </row>
    <row r="93" ht="14.25" customHeight="1">
      <c r="C93" s="1"/>
      <c r="D93" s="1"/>
      <c r="F93" s="2" t="str">
        <f>IFERROR(__xludf.DUMMYFUNCTION("""COMPUTED_VALUE"""),"")</f>
        <v/>
      </c>
      <c r="I93" s="1" t="s">
        <v>35</v>
      </c>
    </row>
    <row r="94" ht="14.25" customHeight="1">
      <c r="C94" s="1"/>
      <c r="D94" s="1"/>
      <c r="F94" s="2" t="str">
        <f>IFERROR(__xludf.DUMMYFUNCTION("""COMPUTED_VALUE"""),"")</f>
        <v/>
      </c>
      <c r="I94" s="1" t="s">
        <v>35</v>
      </c>
    </row>
    <row r="95" ht="14.25" customHeight="1">
      <c r="C95" s="1"/>
      <c r="D95" s="1"/>
      <c r="F95" s="2" t="str">
        <f>IFERROR(__xludf.DUMMYFUNCTION("""COMPUTED_VALUE"""),"")</f>
        <v/>
      </c>
      <c r="I95" s="1" t="s">
        <v>35</v>
      </c>
    </row>
    <row r="96" ht="14.25" customHeight="1">
      <c r="C96" s="1"/>
      <c r="D96" s="1"/>
      <c r="F96" s="2" t="str">
        <f>IFERROR(__xludf.DUMMYFUNCTION("""COMPUTED_VALUE"""),"")</f>
        <v/>
      </c>
      <c r="I96" s="1" t="s">
        <v>35</v>
      </c>
    </row>
    <row r="97" ht="14.25" customHeight="1">
      <c r="C97" s="1"/>
      <c r="D97" s="1"/>
      <c r="F97" s="2" t="str">
        <f>IFERROR(__xludf.DUMMYFUNCTION("""COMPUTED_VALUE"""),"")</f>
        <v/>
      </c>
      <c r="I97" s="1" t="s">
        <v>35</v>
      </c>
    </row>
    <row r="98" ht="14.25" customHeight="1">
      <c r="C98" s="1"/>
      <c r="D98" s="1"/>
      <c r="F98" s="2" t="str">
        <f>IFERROR(__xludf.DUMMYFUNCTION("""COMPUTED_VALUE"""),"")</f>
        <v/>
      </c>
      <c r="I98" s="1" t="s">
        <v>35</v>
      </c>
    </row>
    <row r="99" ht="14.25" customHeight="1">
      <c r="C99" s="1"/>
      <c r="D99" s="1"/>
      <c r="F99" s="2" t="str">
        <f>IFERROR(__xludf.DUMMYFUNCTION("""COMPUTED_VALUE"""),"")</f>
        <v/>
      </c>
      <c r="I99" s="1" t="s">
        <v>35</v>
      </c>
    </row>
    <row r="100" ht="14.25" customHeight="1">
      <c r="C100" s="1"/>
      <c r="D100" s="1"/>
      <c r="F100" s="2" t="str">
        <f>IFERROR(__xludf.DUMMYFUNCTION("""COMPUTED_VALUE"""),"")</f>
        <v/>
      </c>
      <c r="I100" s="1" t="s">
        <v>35</v>
      </c>
    </row>
    <row r="101" ht="14.25" customHeight="1">
      <c r="C101" s="1"/>
      <c r="D101" s="1"/>
      <c r="F101" s="2" t="str">
        <f>IFERROR(__xludf.DUMMYFUNCTION("""COMPUTED_VALUE"""),"")</f>
        <v/>
      </c>
      <c r="I101" s="1" t="s">
        <v>35</v>
      </c>
    </row>
    <row r="102" ht="14.25" customHeight="1">
      <c r="C102" s="1"/>
      <c r="D102" s="1"/>
      <c r="F102" s="2" t="str">
        <f>IFERROR(__xludf.DUMMYFUNCTION("""COMPUTED_VALUE"""),"")</f>
        <v/>
      </c>
      <c r="I102" s="1" t="s">
        <v>35</v>
      </c>
    </row>
    <row r="103" ht="14.25" customHeight="1">
      <c r="C103" s="1"/>
      <c r="D103" s="1"/>
      <c r="F103" s="2" t="str">
        <f>IFERROR(__xludf.DUMMYFUNCTION("""COMPUTED_VALUE"""),"")</f>
        <v/>
      </c>
      <c r="I103" s="1" t="s">
        <v>35</v>
      </c>
    </row>
    <row r="104" ht="14.25" customHeight="1">
      <c r="C104" s="1"/>
      <c r="D104" s="1"/>
      <c r="F104" s="2" t="str">
        <f>IFERROR(__xludf.DUMMYFUNCTION("""COMPUTED_VALUE"""),"")</f>
        <v/>
      </c>
      <c r="I104" s="1" t="s">
        <v>35</v>
      </c>
    </row>
    <row r="105" ht="14.25" customHeight="1">
      <c r="C105" s="1"/>
      <c r="D105" s="1"/>
      <c r="F105" s="2" t="str">
        <f>IFERROR(__xludf.DUMMYFUNCTION("""COMPUTED_VALUE"""),"")</f>
        <v/>
      </c>
      <c r="I105" s="1" t="s">
        <v>35</v>
      </c>
    </row>
    <row r="106" ht="14.25" customHeight="1">
      <c r="C106" s="1"/>
      <c r="D106" s="1"/>
      <c r="F106" s="2" t="str">
        <f>IFERROR(__xludf.DUMMYFUNCTION("""COMPUTED_VALUE"""),"")</f>
        <v/>
      </c>
      <c r="I106" s="1" t="s">
        <v>35</v>
      </c>
    </row>
    <row r="107" ht="14.25" customHeight="1">
      <c r="C107" s="1"/>
      <c r="D107" s="1"/>
      <c r="F107" s="2" t="str">
        <f>IFERROR(__xludf.DUMMYFUNCTION("""COMPUTED_VALUE"""),"")</f>
        <v/>
      </c>
      <c r="I107" s="1" t="s">
        <v>35</v>
      </c>
    </row>
    <row r="108" ht="14.25" customHeight="1">
      <c r="C108" s="1"/>
      <c r="D108" s="1"/>
      <c r="F108" s="2" t="str">
        <f>IFERROR(__xludf.DUMMYFUNCTION("""COMPUTED_VALUE"""),"")</f>
        <v/>
      </c>
      <c r="I108" s="1" t="s">
        <v>35</v>
      </c>
    </row>
    <row r="109" ht="14.25" customHeight="1">
      <c r="C109" s="1"/>
      <c r="D109" s="1"/>
      <c r="F109" s="2" t="str">
        <f>IFERROR(__xludf.DUMMYFUNCTION("""COMPUTED_VALUE"""),"")</f>
        <v/>
      </c>
      <c r="I109" s="1" t="s">
        <v>35</v>
      </c>
    </row>
    <row r="110" ht="14.25" customHeight="1">
      <c r="C110" s="1"/>
      <c r="D110" s="1"/>
      <c r="F110" s="2" t="str">
        <f>IFERROR(__xludf.DUMMYFUNCTION("""COMPUTED_VALUE"""),"")</f>
        <v/>
      </c>
      <c r="I110" s="1" t="s">
        <v>35</v>
      </c>
    </row>
    <row r="111" ht="14.25" customHeight="1">
      <c r="C111" s="1"/>
      <c r="D111" s="1"/>
      <c r="F111" s="2" t="str">
        <f>IFERROR(__xludf.DUMMYFUNCTION("""COMPUTED_VALUE"""),"")</f>
        <v/>
      </c>
      <c r="I111" s="1" t="s">
        <v>35</v>
      </c>
    </row>
    <row r="112" ht="14.25" customHeight="1">
      <c r="C112" s="1"/>
      <c r="D112" s="1"/>
      <c r="F112" s="2" t="str">
        <f>IFERROR(__xludf.DUMMYFUNCTION("""COMPUTED_VALUE"""),"")</f>
        <v/>
      </c>
      <c r="I112" s="1" t="s">
        <v>35</v>
      </c>
    </row>
    <row r="113" ht="14.25" customHeight="1">
      <c r="C113" s="1"/>
      <c r="D113" s="1"/>
      <c r="F113" s="2" t="str">
        <f>IFERROR(__xludf.DUMMYFUNCTION("""COMPUTED_VALUE"""),"")</f>
        <v/>
      </c>
      <c r="I113" s="1" t="s">
        <v>35</v>
      </c>
    </row>
    <row r="114" ht="14.25" customHeight="1">
      <c r="C114" s="1"/>
      <c r="D114" s="1"/>
      <c r="F114" s="2" t="str">
        <f>IFERROR(__xludf.DUMMYFUNCTION("""COMPUTED_VALUE"""),"")</f>
        <v/>
      </c>
      <c r="I114" s="1" t="s">
        <v>35</v>
      </c>
    </row>
    <row r="115" ht="14.25" customHeight="1">
      <c r="C115" s="1"/>
      <c r="D115" s="1"/>
      <c r="F115" s="2" t="str">
        <f>IFERROR(__xludf.DUMMYFUNCTION("""COMPUTED_VALUE"""),"")</f>
        <v/>
      </c>
      <c r="I115" s="1" t="s">
        <v>35</v>
      </c>
    </row>
    <row r="116" ht="14.25" customHeight="1">
      <c r="C116" s="1"/>
      <c r="D116" s="1"/>
      <c r="F116" s="2" t="str">
        <f>IFERROR(__xludf.DUMMYFUNCTION("""COMPUTED_VALUE"""),"")</f>
        <v/>
      </c>
      <c r="I116" s="1" t="s">
        <v>35</v>
      </c>
    </row>
    <row r="117" ht="14.25" customHeight="1">
      <c r="C117" s="1"/>
      <c r="D117" s="1"/>
      <c r="F117" s="2" t="str">
        <f>IFERROR(__xludf.DUMMYFUNCTION("""COMPUTED_VALUE"""),"")</f>
        <v/>
      </c>
      <c r="I117" s="1" t="s">
        <v>35</v>
      </c>
    </row>
    <row r="118" ht="14.25" customHeight="1">
      <c r="C118" s="1"/>
      <c r="D118" s="1"/>
      <c r="F118" s="2" t="str">
        <f>IFERROR(__xludf.DUMMYFUNCTION("""COMPUTED_VALUE"""),"")</f>
        <v/>
      </c>
      <c r="I118" s="1" t="s">
        <v>35</v>
      </c>
    </row>
    <row r="119" ht="14.25" customHeight="1">
      <c r="C119" s="1"/>
      <c r="D119" s="1"/>
      <c r="F119" s="2" t="str">
        <f>IFERROR(__xludf.DUMMYFUNCTION("""COMPUTED_VALUE"""),"")</f>
        <v/>
      </c>
      <c r="I119" s="1" t="s">
        <v>35</v>
      </c>
    </row>
    <row r="120" ht="14.25" customHeight="1">
      <c r="C120" s="1"/>
      <c r="D120" s="1"/>
      <c r="F120" s="2" t="str">
        <f>IFERROR(__xludf.DUMMYFUNCTION("""COMPUTED_VALUE"""),"")</f>
        <v/>
      </c>
      <c r="I120" s="1" t="s">
        <v>35</v>
      </c>
    </row>
    <row r="121" ht="14.25" customHeight="1">
      <c r="C121" s="1"/>
      <c r="D121" s="1"/>
      <c r="F121" s="2" t="str">
        <f>IFERROR(__xludf.DUMMYFUNCTION("""COMPUTED_VALUE"""),"")</f>
        <v/>
      </c>
      <c r="I121" s="1" t="s">
        <v>35</v>
      </c>
    </row>
    <row r="122" ht="14.25" customHeight="1">
      <c r="C122" s="1"/>
      <c r="D122" s="1"/>
      <c r="F122" s="2" t="str">
        <f>IFERROR(__xludf.DUMMYFUNCTION("""COMPUTED_VALUE"""),"")</f>
        <v/>
      </c>
      <c r="I122" s="1" t="s">
        <v>35</v>
      </c>
    </row>
    <row r="123" ht="14.25" customHeight="1">
      <c r="C123" s="1"/>
      <c r="D123" s="1"/>
      <c r="F123" s="2" t="str">
        <f>IFERROR(__xludf.DUMMYFUNCTION("""COMPUTED_VALUE"""),"")</f>
        <v/>
      </c>
      <c r="I123" s="1" t="s">
        <v>35</v>
      </c>
    </row>
    <row r="124" ht="14.25" customHeight="1">
      <c r="C124" s="1"/>
      <c r="D124" s="1"/>
      <c r="F124" s="2" t="str">
        <f>IFERROR(__xludf.DUMMYFUNCTION("""COMPUTED_VALUE"""),"")</f>
        <v/>
      </c>
      <c r="I124" s="1" t="s">
        <v>35</v>
      </c>
    </row>
    <row r="125" ht="14.25" customHeight="1">
      <c r="C125" s="1"/>
      <c r="D125" s="1"/>
      <c r="F125" s="2" t="str">
        <f>IFERROR(__xludf.DUMMYFUNCTION("""COMPUTED_VALUE"""),"")</f>
        <v/>
      </c>
      <c r="I125" s="1" t="s">
        <v>35</v>
      </c>
    </row>
    <row r="126" ht="14.25" customHeight="1">
      <c r="C126" s="1"/>
      <c r="D126" s="1"/>
      <c r="F126" s="2" t="str">
        <f>IFERROR(__xludf.DUMMYFUNCTION("""COMPUTED_VALUE"""),"")</f>
        <v/>
      </c>
      <c r="I126" s="1" t="s">
        <v>35</v>
      </c>
    </row>
    <row r="127" ht="14.25" customHeight="1">
      <c r="C127" s="1"/>
      <c r="D127" s="1"/>
      <c r="F127" s="2" t="str">
        <f>IFERROR(__xludf.DUMMYFUNCTION("""COMPUTED_VALUE"""),"")</f>
        <v/>
      </c>
      <c r="I127" s="1" t="s">
        <v>35</v>
      </c>
    </row>
    <row r="128" ht="14.25" customHeight="1">
      <c r="C128" s="1"/>
      <c r="D128" s="1"/>
      <c r="F128" s="2" t="str">
        <f>IFERROR(__xludf.DUMMYFUNCTION("""COMPUTED_VALUE"""),"")</f>
        <v/>
      </c>
      <c r="I128" s="1" t="s">
        <v>35</v>
      </c>
    </row>
    <row r="129" ht="14.25" customHeight="1">
      <c r="C129" s="1"/>
      <c r="D129" s="1"/>
      <c r="F129" s="2" t="str">
        <f>IFERROR(__xludf.DUMMYFUNCTION("""COMPUTED_VALUE"""),"")</f>
        <v/>
      </c>
      <c r="I129" s="1" t="s">
        <v>35</v>
      </c>
    </row>
    <row r="130" ht="14.25" customHeight="1">
      <c r="C130" s="1"/>
      <c r="D130" s="1"/>
      <c r="F130" s="2" t="str">
        <f>IFERROR(__xludf.DUMMYFUNCTION("""COMPUTED_VALUE"""),"")</f>
        <v/>
      </c>
      <c r="I130" s="1" t="s">
        <v>35</v>
      </c>
    </row>
    <row r="131" ht="14.25" customHeight="1">
      <c r="C131" s="1"/>
      <c r="D131" s="1"/>
      <c r="F131" s="2" t="str">
        <f>IFERROR(__xludf.DUMMYFUNCTION("""COMPUTED_VALUE"""),"")</f>
        <v/>
      </c>
      <c r="I131" s="1" t="s">
        <v>35</v>
      </c>
    </row>
    <row r="132" ht="14.25" customHeight="1">
      <c r="C132" s="1"/>
      <c r="D132" s="1"/>
      <c r="F132" s="2" t="str">
        <f>IFERROR(__xludf.DUMMYFUNCTION("""COMPUTED_VALUE"""),"")</f>
        <v/>
      </c>
      <c r="I132" s="1" t="s">
        <v>35</v>
      </c>
    </row>
    <row r="133" ht="14.25" customHeight="1">
      <c r="C133" s="1"/>
      <c r="D133" s="1"/>
      <c r="F133" s="2" t="str">
        <f>IFERROR(__xludf.DUMMYFUNCTION("""COMPUTED_VALUE"""),"")</f>
        <v/>
      </c>
      <c r="I133" s="1" t="s">
        <v>35</v>
      </c>
    </row>
    <row r="134" ht="14.25" customHeight="1">
      <c r="C134" s="1"/>
      <c r="D134" s="1"/>
      <c r="F134" s="2" t="str">
        <f>IFERROR(__xludf.DUMMYFUNCTION("""COMPUTED_VALUE"""),"")</f>
        <v/>
      </c>
      <c r="I134" s="1" t="s">
        <v>35</v>
      </c>
    </row>
    <row r="135" ht="14.25" customHeight="1">
      <c r="C135" s="1"/>
      <c r="D135" s="1"/>
      <c r="F135" s="2" t="str">
        <f>IFERROR(__xludf.DUMMYFUNCTION("""COMPUTED_VALUE"""),"")</f>
        <v/>
      </c>
      <c r="I135" s="1" t="s">
        <v>35</v>
      </c>
    </row>
    <row r="136" ht="14.25" customHeight="1">
      <c r="C136" s="1"/>
      <c r="D136" s="1"/>
      <c r="F136" s="2" t="str">
        <f>IFERROR(__xludf.DUMMYFUNCTION("""COMPUTED_VALUE"""),"")</f>
        <v/>
      </c>
      <c r="I136" s="1" t="s">
        <v>35</v>
      </c>
    </row>
    <row r="137" ht="14.25" customHeight="1">
      <c r="C137" s="1"/>
      <c r="D137" s="1"/>
      <c r="F137" s="2" t="str">
        <f>IFERROR(__xludf.DUMMYFUNCTION("""COMPUTED_VALUE"""),"")</f>
        <v/>
      </c>
      <c r="I137" s="1" t="s">
        <v>35</v>
      </c>
    </row>
    <row r="138" ht="14.25" customHeight="1">
      <c r="C138" s="1"/>
      <c r="D138" s="1"/>
      <c r="F138" s="2" t="str">
        <f>IFERROR(__xludf.DUMMYFUNCTION("""COMPUTED_VALUE"""),"")</f>
        <v/>
      </c>
      <c r="I138" s="1" t="s">
        <v>35</v>
      </c>
    </row>
    <row r="139" ht="14.25" customHeight="1">
      <c r="C139" s="1"/>
      <c r="D139" s="1"/>
      <c r="F139" s="2" t="str">
        <f>IFERROR(__xludf.DUMMYFUNCTION("""COMPUTED_VALUE"""),"")</f>
        <v/>
      </c>
      <c r="I139" s="1" t="s">
        <v>35</v>
      </c>
    </row>
    <row r="140" ht="14.25" customHeight="1">
      <c r="C140" s="1"/>
      <c r="D140" s="1"/>
      <c r="F140" s="2" t="str">
        <f>IFERROR(__xludf.DUMMYFUNCTION("""COMPUTED_VALUE"""),"")</f>
        <v/>
      </c>
      <c r="I140" s="1" t="s">
        <v>35</v>
      </c>
    </row>
    <row r="141" ht="14.25" customHeight="1">
      <c r="C141" s="1"/>
      <c r="D141" s="1"/>
      <c r="F141" s="2" t="str">
        <f>IFERROR(__xludf.DUMMYFUNCTION("""COMPUTED_VALUE"""),"")</f>
        <v/>
      </c>
      <c r="I141" s="1" t="s">
        <v>35</v>
      </c>
    </row>
    <row r="142" ht="14.25" customHeight="1">
      <c r="C142" s="1"/>
      <c r="D142" s="1"/>
      <c r="F142" s="2" t="str">
        <f>IFERROR(__xludf.DUMMYFUNCTION("""COMPUTED_VALUE"""),"")</f>
        <v/>
      </c>
      <c r="I142" s="1" t="s">
        <v>35</v>
      </c>
    </row>
    <row r="143" ht="14.25" customHeight="1">
      <c r="C143" s="1"/>
      <c r="D143" s="1"/>
      <c r="F143" s="2" t="str">
        <f>IFERROR(__xludf.DUMMYFUNCTION("""COMPUTED_VALUE"""),"")</f>
        <v/>
      </c>
      <c r="I143" s="1" t="s">
        <v>35</v>
      </c>
    </row>
    <row r="144" ht="14.25" customHeight="1">
      <c r="C144" s="1"/>
      <c r="D144" s="1"/>
      <c r="F144" s="2" t="str">
        <f>IFERROR(__xludf.DUMMYFUNCTION("""COMPUTED_VALUE"""),"")</f>
        <v/>
      </c>
      <c r="I144" s="1" t="s">
        <v>35</v>
      </c>
    </row>
    <row r="145" ht="14.25" customHeight="1">
      <c r="C145" s="1"/>
      <c r="D145" s="1"/>
      <c r="F145" s="2" t="str">
        <f>IFERROR(__xludf.DUMMYFUNCTION("""COMPUTED_VALUE"""),"")</f>
        <v/>
      </c>
      <c r="I145" s="1" t="s">
        <v>35</v>
      </c>
    </row>
    <row r="146" ht="14.25" customHeight="1">
      <c r="C146" s="1"/>
      <c r="D146" s="1"/>
      <c r="F146" s="2" t="str">
        <f>IFERROR(__xludf.DUMMYFUNCTION("""COMPUTED_VALUE"""),"")</f>
        <v/>
      </c>
      <c r="I146" s="1" t="s">
        <v>35</v>
      </c>
    </row>
    <row r="147" ht="14.25" customHeight="1">
      <c r="C147" s="1"/>
      <c r="D147" s="1"/>
      <c r="F147" s="2" t="str">
        <f>IFERROR(__xludf.DUMMYFUNCTION("""COMPUTED_VALUE"""),"")</f>
        <v/>
      </c>
      <c r="I147" s="1" t="s">
        <v>35</v>
      </c>
    </row>
    <row r="148" ht="14.25" customHeight="1">
      <c r="C148" s="1"/>
      <c r="D148" s="1"/>
      <c r="F148" s="2" t="str">
        <f>IFERROR(__xludf.DUMMYFUNCTION("""COMPUTED_VALUE"""),"")</f>
        <v/>
      </c>
      <c r="I148" s="1" t="s">
        <v>35</v>
      </c>
    </row>
    <row r="149" ht="14.25" customHeight="1">
      <c r="C149" s="1"/>
      <c r="D149" s="1"/>
      <c r="F149" s="2" t="str">
        <f>IFERROR(__xludf.DUMMYFUNCTION("""COMPUTED_VALUE"""),"")</f>
        <v/>
      </c>
      <c r="I149" s="1" t="s">
        <v>35</v>
      </c>
    </row>
    <row r="150" ht="14.25" customHeight="1">
      <c r="C150" s="1"/>
      <c r="D150" s="1"/>
      <c r="F150" s="2" t="str">
        <f>IFERROR(__xludf.DUMMYFUNCTION("""COMPUTED_VALUE"""),"")</f>
        <v/>
      </c>
      <c r="I150" s="1" t="s">
        <v>35</v>
      </c>
    </row>
    <row r="151" ht="14.25" customHeight="1">
      <c r="C151" s="1"/>
      <c r="D151" s="1"/>
      <c r="F151" s="2" t="str">
        <f>IFERROR(__xludf.DUMMYFUNCTION("""COMPUTED_VALUE"""),"")</f>
        <v/>
      </c>
      <c r="I151" s="1" t="s">
        <v>35</v>
      </c>
    </row>
    <row r="152" ht="14.25" customHeight="1">
      <c r="C152" s="1"/>
      <c r="D152" s="1"/>
      <c r="F152" s="2" t="str">
        <f>IFERROR(__xludf.DUMMYFUNCTION("""COMPUTED_VALUE"""),"")</f>
        <v/>
      </c>
      <c r="I152" s="1" t="s">
        <v>35</v>
      </c>
    </row>
    <row r="153" ht="14.25" customHeight="1">
      <c r="C153" s="1"/>
      <c r="D153" s="1"/>
      <c r="F153" s="2" t="str">
        <f>IFERROR(__xludf.DUMMYFUNCTION("""COMPUTED_VALUE"""),"")</f>
        <v/>
      </c>
      <c r="I153" s="1" t="s">
        <v>35</v>
      </c>
    </row>
    <row r="154" ht="14.25" customHeight="1">
      <c r="C154" s="1"/>
      <c r="D154" s="1"/>
      <c r="F154" s="2" t="str">
        <f>IFERROR(__xludf.DUMMYFUNCTION("""COMPUTED_VALUE"""),"")</f>
        <v/>
      </c>
      <c r="I154" s="1" t="s">
        <v>35</v>
      </c>
    </row>
    <row r="155" ht="14.25" customHeight="1">
      <c r="C155" s="1"/>
      <c r="D155" s="1"/>
      <c r="F155" s="2" t="str">
        <f>IFERROR(__xludf.DUMMYFUNCTION("""COMPUTED_VALUE"""),"")</f>
        <v/>
      </c>
      <c r="I155" s="1" t="s">
        <v>35</v>
      </c>
    </row>
    <row r="156" ht="14.25" customHeight="1">
      <c r="C156" s="1"/>
      <c r="D156" s="1"/>
      <c r="F156" s="2" t="str">
        <f>IFERROR(__xludf.DUMMYFUNCTION("""COMPUTED_VALUE"""),"")</f>
        <v/>
      </c>
      <c r="I156" s="1" t="s">
        <v>35</v>
      </c>
    </row>
    <row r="157" ht="14.25" customHeight="1">
      <c r="C157" s="1"/>
      <c r="D157" s="1"/>
      <c r="F157" s="2" t="str">
        <f>IFERROR(__xludf.DUMMYFUNCTION("""COMPUTED_VALUE"""),"")</f>
        <v/>
      </c>
      <c r="I157" s="1" t="s">
        <v>35</v>
      </c>
    </row>
    <row r="158" ht="14.25" customHeight="1">
      <c r="C158" s="1"/>
      <c r="D158" s="1"/>
      <c r="F158" s="2" t="str">
        <f>IFERROR(__xludf.DUMMYFUNCTION("""COMPUTED_VALUE"""),"")</f>
        <v/>
      </c>
      <c r="I158" s="1" t="s">
        <v>35</v>
      </c>
    </row>
    <row r="159" ht="14.25" customHeight="1">
      <c r="C159" s="1"/>
      <c r="D159" s="1"/>
      <c r="F159" s="2" t="str">
        <f>IFERROR(__xludf.DUMMYFUNCTION("""COMPUTED_VALUE"""),"")</f>
        <v/>
      </c>
      <c r="I159" s="1" t="s">
        <v>35</v>
      </c>
    </row>
    <row r="160" ht="14.25" customHeight="1">
      <c r="C160" s="1"/>
      <c r="D160" s="1"/>
      <c r="F160" s="2" t="str">
        <f>IFERROR(__xludf.DUMMYFUNCTION("""COMPUTED_VALUE"""),"")</f>
        <v/>
      </c>
      <c r="I160" s="1" t="s">
        <v>35</v>
      </c>
    </row>
    <row r="161" ht="14.25" customHeight="1">
      <c r="C161" s="1"/>
      <c r="D161" s="1"/>
      <c r="F161" s="2" t="str">
        <f>IFERROR(__xludf.DUMMYFUNCTION("""COMPUTED_VALUE"""),"")</f>
        <v/>
      </c>
      <c r="I161" s="1" t="s">
        <v>35</v>
      </c>
    </row>
    <row r="162" ht="14.25" customHeight="1">
      <c r="C162" s="1"/>
      <c r="D162" s="1"/>
      <c r="F162" s="2" t="str">
        <f>IFERROR(__xludf.DUMMYFUNCTION("""COMPUTED_VALUE"""),"")</f>
        <v/>
      </c>
      <c r="I162" s="1" t="s">
        <v>35</v>
      </c>
    </row>
    <row r="163" ht="14.25" customHeight="1">
      <c r="C163" s="1"/>
      <c r="D163" s="1"/>
      <c r="F163" s="2" t="str">
        <f>IFERROR(__xludf.DUMMYFUNCTION("""COMPUTED_VALUE"""),"")</f>
        <v/>
      </c>
      <c r="I163" s="1" t="s">
        <v>35</v>
      </c>
    </row>
    <row r="164" ht="14.25" customHeight="1">
      <c r="C164" s="1"/>
      <c r="D164" s="1"/>
      <c r="F164" s="2" t="str">
        <f>IFERROR(__xludf.DUMMYFUNCTION("""COMPUTED_VALUE"""),"")</f>
        <v/>
      </c>
      <c r="I164" s="1" t="s">
        <v>35</v>
      </c>
    </row>
    <row r="165" ht="14.25" customHeight="1">
      <c r="C165" s="1"/>
      <c r="D165" s="1"/>
      <c r="F165" s="2" t="str">
        <f>IFERROR(__xludf.DUMMYFUNCTION("""COMPUTED_VALUE"""),"")</f>
        <v/>
      </c>
      <c r="I165" s="1" t="s">
        <v>35</v>
      </c>
    </row>
    <row r="166" ht="14.25" customHeight="1">
      <c r="C166" s="1"/>
      <c r="D166" s="1"/>
      <c r="F166" s="2" t="str">
        <f>IFERROR(__xludf.DUMMYFUNCTION("""COMPUTED_VALUE"""),"")</f>
        <v/>
      </c>
      <c r="I166" s="1" t="s">
        <v>35</v>
      </c>
    </row>
    <row r="167" ht="14.25" customHeight="1">
      <c r="C167" s="1"/>
      <c r="D167" s="1"/>
      <c r="F167" s="2" t="str">
        <f>IFERROR(__xludf.DUMMYFUNCTION("""COMPUTED_VALUE"""),"")</f>
        <v/>
      </c>
      <c r="I167" s="1" t="s">
        <v>35</v>
      </c>
    </row>
    <row r="168" ht="14.25" customHeight="1">
      <c r="C168" s="1"/>
      <c r="D168" s="1"/>
      <c r="F168" s="2" t="str">
        <f>IFERROR(__xludf.DUMMYFUNCTION("""COMPUTED_VALUE"""),"")</f>
        <v/>
      </c>
      <c r="I168" s="1" t="s">
        <v>35</v>
      </c>
    </row>
    <row r="169" ht="14.25" customHeight="1">
      <c r="C169" s="1"/>
      <c r="D169" s="1"/>
      <c r="F169" s="2" t="str">
        <f>IFERROR(__xludf.DUMMYFUNCTION("""COMPUTED_VALUE"""),"")</f>
        <v/>
      </c>
      <c r="I169" s="1" t="s">
        <v>35</v>
      </c>
    </row>
    <row r="170" ht="14.25" customHeight="1">
      <c r="C170" s="1"/>
      <c r="D170" s="1"/>
      <c r="F170" s="2" t="str">
        <f>IFERROR(__xludf.DUMMYFUNCTION("""COMPUTED_VALUE"""),"")</f>
        <v/>
      </c>
      <c r="I170" s="1" t="s">
        <v>35</v>
      </c>
    </row>
    <row r="171" ht="14.25" customHeight="1">
      <c r="C171" s="1"/>
      <c r="D171" s="1"/>
      <c r="F171" s="2" t="str">
        <f>IFERROR(__xludf.DUMMYFUNCTION("""COMPUTED_VALUE"""),"")</f>
        <v/>
      </c>
      <c r="I171" s="1" t="s">
        <v>35</v>
      </c>
    </row>
    <row r="172" ht="14.25" customHeight="1">
      <c r="C172" s="1"/>
      <c r="D172" s="1"/>
      <c r="F172" s="2" t="str">
        <f>IFERROR(__xludf.DUMMYFUNCTION("""COMPUTED_VALUE"""),"")</f>
        <v/>
      </c>
      <c r="I172" s="1" t="s">
        <v>35</v>
      </c>
    </row>
    <row r="173" ht="14.25" customHeight="1">
      <c r="C173" s="1"/>
      <c r="D173" s="1"/>
      <c r="F173" s="2" t="str">
        <f>IFERROR(__xludf.DUMMYFUNCTION("""COMPUTED_VALUE"""),"")</f>
        <v/>
      </c>
      <c r="I173" s="1" t="s">
        <v>35</v>
      </c>
    </row>
    <row r="174" ht="14.25" customHeight="1">
      <c r="C174" s="1"/>
      <c r="D174" s="1"/>
      <c r="F174" s="2" t="str">
        <f>IFERROR(__xludf.DUMMYFUNCTION("""COMPUTED_VALUE"""),"")</f>
        <v/>
      </c>
      <c r="I174" s="1" t="s">
        <v>35</v>
      </c>
    </row>
    <row r="175" ht="14.25" customHeight="1">
      <c r="C175" s="1"/>
      <c r="D175" s="1"/>
      <c r="F175" s="2" t="str">
        <f>IFERROR(__xludf.DUMMYFUNCTION("""COMPUTED_VALUE"""),"")</f>
        <v/>
      </c>
      <c r="I175" s="1" t="s">
        <v>35</v>
      </c>
    </row>
    <row r="176" ht="14.25" customHeight="1">
      <c r="C176" s="1"/>
      <c r="D176" s="1"/>
      <c r="F176" s="2" t="str">
        <f>IFERROR(__xludf.DUMMYFUNCTION("""COMPUTED_VALUE"""),"")</f>
        <v/>
      </c>
      <c r="I176" s="1" t="s">
        <v>35</v>
      </c>
    </row>
    <row r="177" ht="14.25" customHeight="1">
      <c r="C177" s="1"/>
      <c r="D177" s="1"/>
      <c r="F177" s="2" t="str">
        <f>IFERROR(__xludf.DUMMYFUNCTION("""COMPUTED_VALUE"""),"")</f>
        <v/>
      </c>
      <c r="I177" s="1" t="s">
        <v>35</v>
      </c>
    </row>
    <row r="178" ht="14.25" customHeight="1">
      <c r="C178" s="1"/>
      <c r="D178" s="1"/>
      <c r="F178" s="2" t="str">
        <f>IFERROR(__xludf.DUMMYFUNCTION("""COMPUTED_VALUE"""),"")</f>
        <v/>
      </c>
      <c r="I178" s="1" t="s">
        <v>35</v>
      </c>
    </row>
    <row r="179" ht="14.25" customHeight="1">
      <c r="C179" s="1"/>
      <c r="D179" s="1"/>
      <c r="F179" s="2" t="str">
        <f>IFERROR(__xludf.DUMMYFUNCTION("""COMPUTED_VALUE"""),"")</f>
        <v/>
      </c>
      <c r="I179" s="1" t="s">
        <v>35</v>
      </c>
    </row>
    <row r="180" ht="14.25" customHeight="1">
      <c r="C180" s="1"/>
      <c r="D180" s="1"/>
      <c r="F180" s="2" t="str">
        <f>IFERROR(__xludf.DUMMYFUNCTION("""COMPUTED_VALUE"""),"")</f>
        <v/>
      </c>
      <c r="I180" s="1" t="s">
        <v>35</v>
      </c>
    </row>
    <row r="181" ht="14.25" customHeight="1">
      <c r="C181" s="1"/>
      <c r="D181" s="1"/>
      <c r="F181" s="2" t="str">
        <f>IFERROR(__xludf.DUMMYFUNCTION("""COMPUTED_VALUE"""),"")</f>
        <v/>
      </c>
      <c r="I181" s="1" t="s">
        <v>35</v>
      </c>
    </row>
    <row r="182" ht="14.25" customHeight="1">
      <c r="C182" s="1"/>
      <c r="D182" s="1"/>
      <c r="F182" s="2" t="str">
        <f>IFERROR(__xludf.DUMMYFUNCTION("""COMPUTED_VALUE"""),"")</f>
        <v/>
      </c>
      <c r="I182" s="1" t="s">
        <v>35</v>
      </c>
    </row>
    <row r="183" ht="14.25" customHeight="1">
      <c r="C183" s="1"/>
      <c r="D183" s="1"/>
      <c r="F183" s="2" t="str">
        <f>IFERROR(__xludf.DUMMYFUNCTION("""COMPUTED_VALUE"""),"")</f>
        <v/>
      </c>
      <c r="I183" s="1" t="s">
        <v>35</v>
      </c>
    </row>
    <row r="184" ht="14.25" customHeight="1">
      <c r="C184" s="1"/>
      <c r="D184" s="1"/>
      <c r="F184" s="2" t="str">
        <f>IFERROR(__xludf.DUMMYFUNCTION("""COMPUTED_VALUE"""),"")</f>
        <v/>
      </c>
      <c r="I184" s="1" t="s">
        <v>35</v>
      </c>
    </row>
    <row r="185" ht="14.25" customHeight="1">
      <c r="C185" s="1"/>
      <c r="D185" s="1"/>
      <c r="F185" s="2" t="str">
        <f>IFERROR(__xludf.DUMMYFUNCTION("""COMPUTED_VALUE"""),"")</f>
        <v/>
      </c>
      <c r="I185" s="1" t="s">
        <v>35</v>
      </c>
    </row>
    <row r="186" ht="14.25" customHeight="1">
      <c r="C186" s="1"/>
      <c r="D186" s="1"/>
      <c r="F186" s="2" t="str">
        <f>IFERROR(__xludf.DUMMYFUNCTION("""COMPUTED_VALUE"""),"")</f>
        <v/>
      </c>
      <c r="I186" s="1" t="s">
        <v>35</v>
      </c>
    </row>
    <row r="187" ht="14.25" customHeight="1">
      <c r="C187" s="1"/>
      <c r="D187" s="1"/>
      <c r="F187" s="2" t="str">
        <f>IFERROR(__xludf.DUMMYFUNCTION("""COMPUTED_VALUE"""),"")</f>
        <v/>
      </c>
      <c r="I187" s="1" t="s">
        <v>35</v>
      </c>
    </row>
    <row r="188" ht="14.25" customHeight="1">
      <c r="C188" s="1"/>
      <c r="D188" s="1"/>
      <c r="F188" s="2" t="str">
        <f>IFERROR(__xludf.DUMMYFUNCTION("""COMPUTED_VALUE"""),"")</f>
        <v/>
      </c>
      <c r="I188" s="1" t="s">
        <v>35</v>
      </c>
    </row>
    <row r="189" ht="14.25" customHeight="1">
      <c r="C189" s="1"/>
      <c r="D189" s="1"/>
      <c r="F189" s="2" t="str">
        <f>IFERROR(__xludf.DUMMYFUNCTION("""COMPUTED_VALUE"""),"")</f>
        <v/>
      </c>
      <c r="I189" s="1" t="s">
        <v>35</v>
      </c>
    </row>
    <row r="190" ht="14.25" customHeight="1">
      <c r="C190" s="1"/>
      <c r="D190" s="1"/>
      <c r="F190" s="2" t="str">
        <f>IFERROR(__xludf.DUMMYFUNCTION("""COMPUTED_VALUE"""),"")</f>
        <v/>
      </c>
      <c r="I190" s="1" t="s">
        <v>35</v>
      </c>
    </row>
    <row r="191" ht="14.25" customHeight="1">
      <c r="C191" s="1"/>
      <c r="D191" s="1"/>
      <c r="F191" s="2" t="str">
        <f>IFERROR(__xludf.DUMMYFUNCTION("""COMPUTED_VALUE"""),"")</f>
        <v/>
      </c>
      <c r="I191" s="1" t="s">
        <v>35</v>
      </c>
    </row>
    <row r="192" ht="14.25" customHeight="1">
      <c r="C192" s="1"/>
      <c r="D192" s="1"/>
      <c r="F192" s="2" t="str">
        <f>IFERROR(__xludf.DUMMYFUNCTION("""COMPUTED_VALUE"""),"")</f>
        <v/>
      </c>
      <c r="I192" s="1" t="s">
        <v>35</v>
      </c>
    </row>
    <row r="193" ht="14.25" customHeight="1">
      <c r="C193" s="1"/>
      <c r="D193" s="1"/>
      <c r="F193" s="2" t="str">
        <f>IFERROR(__xludf.DUMMYFUNCTION("""COMPUTED_VALUE"""),"")</f>
        <v/>
      </c>
      <c r="I193" s="1" t="s">
        <v>35</v>
      </c>
    </row>
    <row r="194" ht="14.25" customHeight="1">
      <c r="C194" s="1"/>
      <c r="D194" s="1"/>
      <c r="F194" s="2" t="str">
        <f>IFERROR(__xludf.DUMMYFUNCTION("""COMPUTED_VALUE"""),"")</f>
        <v/>
      </c>
      <c r="I194" s="1" t="s">
        <v>35</v>
      </c>
    </row>
    <row r="195" ht="14.25" customHeight="1">
      <c r="C195" s="1"/>
      <c r="D195" s="1"/>
      <c r="F195" s="2" t="str">
        <f>IFERROR(__xludf.DUMMYFUNCTION("""COMPUTED_VALUE"""),"")</f>
        <v/>
      </c>
      <c r="I195" s="1" t="s">
        <v>35</v>
      </c>
    </row>
    <row r="196" ht="14.25" customHeight="1">
      <c r="C196" s="1"/>
      <c r="D196" s="1"/>
      <c r="F196" s="2" t="str">
        <f>IFERROR(__xludf.DUMMYFUNCTION("""COMPUTED_VALUE"""),"")</f>
        <v/>
      </c>
      <c r="I196" s="1" t="s">
        <v>35</v>
      </c>
    </row>
    <row r="197" ht="14.25" customHeight="1">
      <c r="C197" s="1"/>
      <c r="D197" s="1"/>
      <c r="F197" s="2" t="str">
        <f>IFERROR(__xludf.DUMMYFUNCTION("""COMPUTED_VALUE"""),"")</f>
        <v/>
      </c>
      <c r="I197" s="1" t="s">
        <v>35</v>
      </c>
    </row>
    <row r="198" ht="14.25" customHeight="1">
      <c r="C198" s="1"/>
      <c r="D198" s="1"/>
      <c r="F198" s="2" t="str">
        <f>IFERROR(__xludf.DUMMYFUNCTION("""COMPUTED_VALUE"""),"")</f>
        <v/>
      </c>
      <c r="I198" s="1" t="s">
        <v>35</v>
      </c>
    </row>
    <row r="199" ht="14.25" customHeight="1">
      <c r="C199" s="1"/>
      <c r="D199" s="1"/>
      <c r="F199" s="2" t="str">
        <f>IFERROR(__xludf.DUMMYFUNCTION("""COMPUTED_VALUE"""),"")</f>
        <v/>
      </c>
      <c r="I199" s="1" t="s">
        <v>35</v>
      </c>
    </row>
    <row r="200" ht="14.25" customHeight="1">
      <c r="C200" s="1"/>
      <c r="D200" s="1"/>
      <c r="F200" s="2" t="str">
        <f>IFERROR(__xludf.DUMMYFUNCTION("""COMPUTED_VALUE"""),"")</f>
        <v/>
      </c>
      <c r="I200" s="1" t="s">
        <v>35</v>
      </c>
    </row>
    <row r="201" ht="14.25" customHeight="1">
      <c r="C201" s="1"/>
      <c r="D201" s="1"/>
      <c r="F201" s="2" t="str">
        <f>IFERROR(__xludf.DUMMYFUNCTION("""COMPUTED_VALUE"""),"")</f>
        <v/>
      </c>
      <c r="I201" s="1" t="s">
        <v>35</v>
      </c>
    </row>
    <row r="202" ht="14.25" customHeight="1">
      <c r="C202" s="1"/>
      <c r="D202" s="1"/>
      <c r="F202" s="2" t="str">
        <f>IFERROR(__xludf.DUMMYFUNCTION("""COMPUTED_VALUE"""),"")</f>
        <v/>
      </c>
      <c r="I202" s="1" t="s">
        <v>35</v>
      </c>
    </row>
    <row r="203" ht="14.25" customHeight="1">
      <c r="C203" s="1"/>
      <c r="D203" s="1"/>
      <c r="F203" s="2" t="str">
        <f>IFERROR(__xludf.DUMMYFUNCTION("""COMPUTED_VALUE"""),"")</f>
        <v/>
      </c>
      <c r="I203" s="1" t="s">
        <v>35</v>
      </c>
    </row>
    <row r="204" ht="14.25" customHeight="1">
      <c r="C204" s="1"/>
      <c r="D204" s="1"/>
      <c r="F204" s="2" t="str">
        <f>IFERROR(__xludf.DUMMYFUNCTION("""COMPUTED_VALUE"""),"")</f>
        <v/>
      </c>
      <c r="I204" s="1" t="s">
        <v>35</v>
      </c>
    </row>
    <row r="205" ht="14.25" customHeight="1">
      <c r="C205" s="1"/>
      <c r="D205" s="1"/>
      <c r="F205" s="2" t="str">
        <f>IFERROR(__xludf.DUMMYFUNCTION("""COMPUTED_VALUE"""),"")</f>
        <v/>
      </c>
      <c r="I205" s="1" t="s">
        <v>35</v>
      </c>
    </row>
    <row r="206" ht="14.25" customHeight="1">
      <c r="C206" s="1"/>
      <c r="D206" s="1"/>
      <c r="F206" s="2" t="str">
        <f>IFERROR(__xludf.DUMMYFUNCTION("""COMPUTED_VALUE"""),"")</f>
        <v/>
      </c>
      <c r="I206" s="1" t="s">
        <v>35</v>
      </c>
    </row>
    <row r="207" ht="14.25" customHeight="1">
      <c r="C207" s="1"/>
      <c r="D207" s="1"/>
      <c r="F207" s="2" t="str">
        <f>IFERROR(__xludf.DUMMYFUNCTION("""COMPUTED_VALUE"""),"")</f>
        <v/>
      </c>
      <c r="I207" s="1" t="s">
        <v>35</v>
      </c>
    </row>
    <row r="208" ht="14.25" customHeight="1">
      <c r="C208" s="1"/>
      <c r="D208" s="1"/>
      <c r="F208" s="2" t="str">
        <f>IFERROR(__xludf.DUMMYFUNCTION("""COMPUTED_VALUE"""),"")</f>
        <v/>
      </c>
      <c r="I208" s="1" t="s">
        <v>35</v>
      </c>
    </row>
    <row r="209" ht="14.25" customHeight="1">
      <c r="C209" s="1"/>
      <c r="D209" s="1"/>
      <c r="F209" s="2" t="str">
        <f>IFERROR(__xludf.DUMMYFUNCTION("""COMPUTED_VALUE"""),"")</f>
        <v/>
      </c>
      <c r="I209" s="1" t="s">
        <v>35</v>
      </c>
    </row>
    <row r="210" ht="14.25" customHeight="1">
      <c r="C210" s="1"/>
      <c r="D210" s="1"/>
      <c r="F210" s="2" t="str">
        <f>IFERROR(__xludf.DUMMYFUNCTION("""COMPUTED_VALUE"""),"")</f>
        <v/>
      </c>
      <c r="I210" s="1" t="s">
        <v>35</v>
      </c>
    </row>
    <row r="211" ht="14.25" customHeight="1">
      <c r="C211" s="1"/>
      <c r="D211" s="1"/>
      <c r="F211" s="2" t="str">
        <f>IFERROR(__xludf.DUMMYFUNCTION("""COMPUTED_VALUE"""),"")</f>
        <v/>
      </c>
      <c r="I211" s="1" t="s">
        <v>35</v>
      </c>
    </row>
    <row r="212" ht="14.25" customHeight="1">
      <c r="C212" s="1"/>
      <c r="D212" s="1"/>
      <c r="F212" s="2" t="str">
        <f>IFERROR(__xludf.DUMMYFUNCTION("""COMPUTED_VALUE"""),"")</f>
        <v/>
      </c>
      <c r="I212" s="1" t="s">
        <v>35</v>
      </c>
    </row>
    <row r="213" ht="14.25" customHeight="1">
      <c r="C213" s="1"/>
      <c r="D213" s="1"/>
      <c r="F213" s="2" t="str">
        <f>IFERROR(__xludf.DUMMYFUNCTION("""COMPUTED_VALUE"""),"")</f>
        <v/>
      </c>
      <c r="I213" s="1" t="s">
        <v>35</v>
      </c>
    </row>
    <row r="214" ht="14.25" customHeight="1">
      <c r="C214" s="1"/>
      <c r="D214" s="1"/>
      <c r="F214" s="2" t="str">
        <f>IFERROR(__xludf.DUMMYFUNCTION("""COMPUTED_VALUE"""),"")</f>
        <v/>
      </c>
      <c r="I214" s="1" t="s">
        <v>35</v>
      </c>
    </row>
    <row r="215" ht="14.25" customHeight="1">
      <c r="C215" s="1"/>
      <c r="D215" s="1"/>
      <c r="F215" s="2" t="str">
        <f>IFERROR(__xludf.DUMMYFUNCTION("""COMPUTED_VALUE"""),"")</f>
        <v/>
      </c>
      <c r="I215" s="1" t="s">
        <v>35</v>
      </c>
    </row>
    <row r="216" ht="14.25" customHeight="1">
      <c r="C216" s="1"/>
      <c r="D216" s="1"/>
      <c r="F216" s="2" t="str">
        <f>IFERROR(__xludf.DUMMYFUNCTION("""COMPUTED_VALUE"""),"")</f>
        <v/>
      </c>
      <c r="I216" s="1" t="s">
        <v>35</v>
      </c>
    </row>
    <row r="217" ht="14.25" customHeight="1">
      <c r="C217" s="1"/>
      <c r="D217" s="1"/>
      <c r="F217" s="2" t="str">
        <f>IFERROR(__xludf.DUMMYFUNCTION("""COMPUTED_VALUE"""),"")</f>
        <v/>
      </c>
      <c r="I217" s="1" t="s">
        <v>35</v>
      </c>
    </row>
    <row r="218" ht="14.25" customHeight="1">
      <c r="C218" s="1"/>
      <c r="D218" s="1"/>
      <c r="F218" s="2" t="str">
        <f>IFERROR(__xludf.DUMMYFUNCTION("""COMPUTED_VALUE"""),"")</f>
        <v/>
      </c>
      <c r="I218" s="1" t="s">
        <v>35</v>
      </c>
    </row>
    <row r="219" ht="14.25" customHeight="1">
      <c r="C219" s="1"/>
      <c r="D219" s="1"/>
      <c r="F219" s="2" t="str">
        <f>IFERROR(__xludf.DUMMYFUNCTION("""COMPUTED_VALUE"""),"")</f>
        <v/>
      </c>
      <c r="I219" s="1" t="s">
        <v>35</v>
      </c>
    </row>
    <row r="220" ht="14.25" customHeight="1">
      <c r="C220" s="1"/>
      <c r="D220" s="1"/>
      <c r="F220" s="2" t="str">
        <f>IFERROR(__xludf.DUMMYFUNCTION("""COMPUTED_VALUE"""),"")</f>
        <v/>
      </c>
      <c r="I220" s="1" t="s">
        <v>35</v>
      </c>
    </row>
    <row r="221" ht="14.25" customHeight="1">
      <c r="C221" s="1"/>
      <c r="D221" s="1"/>
      <c r="F221" s="2" t="str">
        <f>IFERROR(__xludf.DUMMYFUNCTION("""COMPUTED_VALUE"""),"")</f>
        <v/>
      </c>
      <c r="I221" s="1" t="s">
        <v>35</v>
      </c>
    </row>
    <row r="222" ht="14.25" customHeight="1">
      <c r="C222" s="1"/>
      <c r="D222" s="1"/>
      <c r="F222" s="2" t="str">
        <f>IFERROR(__xludf.DUMMYFUNCTION("""COMPUTED_VALUE"""),"")</f>
        <v/>
      </c>
      <c r="I222" s="1" t="s">
        <v>35</v>
      </c>
    </row>
    <row r="223" ht="14.25" customHeight="1">
      <c r="C223" s="1"/>
      <c r="D223" s="1"/>
      <c r="F223" s="2" t="str">
        <f>IFERROR(__xludf.DUMMYFUNCTION("""COMPUTED_VALUE"""),"")</f>
        <v/>
      </c>
      <c r="I223" s="1" t="s">
        <v>35</v>
      </c>
    </row>
    <row r="224" ht="14.25" customHeight="1">
      <c r="C224" s="1"/>
      <c r="D224" s="1"/>
      <c r="F224" s="2" t="str">
        <f>IFERROR(__xludf.DUMMYFUNCTION("""COMPUTED_VALUE"""),"")</f>
        <v/>
      </c>
      <c r="I224" s="1" t="s">
        <v>35</v>
      </c>
    </row>
    <row r="225" ht="14.25" customHeight="1">
      <c r="C225" s="1"/>
      <c r="D225" s="1"/>
      <c r="F225" s="2" t="str">
        <f>IFERROR(__xludf.DUMMYFUNCTION("""COMPUTED_VALUE"""),"")</f>
        <v/>
      </c>
      <c r="I225" s="1" t="s">
        <v>35</v>
      </c>
    </row>
    <row r="226" ht="14.25" customHeight="1">
      <c r="C226" s="1"/>
      <c r="D226" s="1"/>
      <c r="F226" s="2" t="str">
        <f>IFERROR(__xludf.DUMMYFUNCTION("""COMPUTED_VALUE"""),"")</f>
        <v/>
      </c>
      <c r="I226" s="1" t="s">
        <v>35</v>
      </c>
    </row>
    <row r="227" ht="14.25" customHeight="1">
      <c r="C227" s="1"/>
      <c r="D227" s="1"/>
      <c r="F227" s="2" t="str">
        <f>IFERROR(__xludf.DUMMYFUNCTION("""COMPUTED_VALUE"""),"")</f>
        <v/>
      </c>
      <c r="I227" s="1" t="s">
        <v>35</v>
      </c>
    </row>
    <row r="228" ht="14.25" customHeight="1">
      <c r="C228" s="1"/>
      <c r="D228" s="1"/>
      <c r="F228" s="2" t="str">
        <f>IFERROR(__xludf.DUMMYFUNCTION("""COMPUTED_VALUE"""),"")</f>
        <v/>
      </c>
      <c r="I228" s="1" t="s">
        <v>35</v>
      </c>
    </row>
    <row r="229" ht="14.25" customHeight="1">
      <c r="C229" s="1"/>
      <c r="D229" s="1"/>
      <c r="F229" s="2" t="str">
        <f>IFERROR(__xludf.DUMMYFUNCTION("""COMPUTED_VALUE"""),"")</f>
        <v/>
      </c>
      <c r="I229" s="1" t="s">
        <v>35</v>
      </c>
    </row>
    <row r="230" ht="14.25" customHeight="1">
      <c r="C230" s="1"/>
      <c r="D230" s="1"/>
      <c r="F230" s="2" t="str">
        <f>IFERROR(__xludf.DUMMYFUNCTION("""COMPUTED_VALUE"""),"")</f>
        <v/>
      </c>
      <c r="I230" s="1" t="s">
        <v>35</v>
      </c>
    </row>
    <row r="231" ht="14.25" customHeight="1">
      <c r="C231" s="1"/>
      <c r="D231" s="1"/>
      <c r="F231" s="2" t="str">
        <f>IFERROR(__xludf.DUMMYFUNCTION("""COMPUTED_VALUE"""),"")</f>
        <v/>
      </c>
      <c r="I231" s="1" t="s">
        <v>35</v>
      </c>
    </row>
    <row r="232" ht="14.25" customHeight="1">
      <c r="C232" s="1"/>
      <c r="D232" s="1"/>
      <c r="F232" s="2" t="str">
        <f>IFERROR(__xludf.DUMMYFUNCTION("""COMPUTED_VALUE"""),"")</f>
        <v/>
      </c>
      <c r="I232" s="1" t="s">
        <v>35</v>
      </c>
    </row>
    <row r="233" ht="14.25" customHeight="1">
      <c r="C233" s="1"/>
      <c r="D233" s="1"/>
      <c r="F233" s="2" t="str">
        <f>IFERROR(__xludf.DUMMYFUNCTION("""COMPUTED_VALUE"""),"")</f>
        <v/>
      </c>
      <c r="I233" s="1" t="s">
        <v>35</v>
      </c>
    </row>
    <row r="234" ht="14.25" customHeight="1">
      <c r="C234" s="1"/>
      <c r="D234" s="1"/>
      <c r="F234" s="2" t="str">
        <f>IFERROR(__xludf.DUMMYFUNCTION("""COMPUTED_VALUE"""),"")</f>
        <v/>
      </c>
      <c r="I234" s="1" t="s">
        <v>35</v>
      </c>
    </row>
    <row r="235" ht="14.25" customHeight="1">
      <c r="C235" s="1"/>
      <c r="D235" s="1"/>
      <c r="F235" s="2" t="str">
        <f>IFERROR(__xludf.DUMMYFUNCTION("""COMPUTED_VALUE"""),"")</f>
        <v/>
      </c>
      <c r="I235" s="1" t="s">
        <v>35</v>
      </c>
    </row>
    <row r="236" ht="14.25" customHeight="1">
      <c r="C236" s="1"/>
      <c r="D236" s="1"/>
      <c r="F236" s="2" t="str">
        <f>IFERROR(__xludf.DUMMYFUNCTION("""COMPUTED_VALUE"""),"")</f>
        <v/>
      </c>
      <c r="I236" s="1" t="s">
        <v>35</v>
      </c>
    </row>
    <row r="237" ht="14.25" customHeight="1">
      <c r="C237" s="1"/>
      <c r="D237" s="1"/>
      <c r="F237" s="2" t="str">
        <f>IFERROR(__xludf.DUMMYFUNCTION("""COMPUTED_VALUE"""),"")</f>
        <v/>
      </c>
      <c r="I237" s="1" t="s">
        <v>35</v>
      </c>
    </row>
    <row r="238" ht="14.25" customHeight="1">
      <c r="C238" s="1"/>
      <c r="D238" s="1"/>
      <c r="F238" s="2" t="str">
        <f>IFERROR(__xludf.DUMMYFUNCTION("""COMPUTED_VALUE"""),"")</f>
        <v/>
      </c>
      <c r="I238" s="1" t="s">
        <v>35</v>
      </c>
    </row>
    <row r="239" ht="14.25" customHeight="1">
      <c r="C239" s="1"/>
      <c r="D239" s="1"/>
      <c r="F239" s="2" t="str">
        <f>IFERROR(__xludf.DUMMYFUNCTION("""COMPUTED_VALUE"""),"")</f>
        <v/>
      </c>
      <c r="I239" s="1" t="s">
        <v>35</v>
      </c>
    </row>
    <row r="240" ht="14.25" customHeight="1">
      <c r="C240" s="1"/>
      <c r="D240" s="1"/>
      <c r="F240" s="2" t="str">
        <f>IFERROR(__xludf.DUMMYFUNCTION("""COMPUTED_VALUE"""),"")</f>
        <v/>
      </c>
      <c r="I240" s="1" t="s">
        <v>35</v>
      </c>
    </row>
    <row r="241" ht="14.25" customHeight="1">
      <c r="C241" s="1"/>
      <c r="D241" s="1"/>
      <c r="F241" s="2" t="str">
        <f>IFERROR(__xludf.DUMMYFUNCTION("""COMPUTED_VALUE"""),"")</f>
        <v/>
      </c>
      <c r="I241" s="1" t="s">
        <v>35</v>
      </c>
    </row>
    <row r="242" ht="14.25" customHeight="1">
      <c r="C242" s="1"/>
      <c r="D242" s="1"/>
      <c r="F242" s="2" t="str">
        <f>IFERROR(__xludf.DUMMYFUNCTION("""COMPUTED_VALUE"""),"")</f>
        <v/>
      </c>
      <c r="I242" s="1" t="s">
        <v>35</v>
      </c>
    </row>
    <row r="243" ht="14.25" customHeight="1">
      <c r="C243" s="1"/>
      <c r="D243" s="1"/>
      <c r="F243" s="2" t="str">
        <f>IFERROR(__xludf.DUMMYFUNCTION("""COMPUTED_VALUE"""),"")</f>
        <v/>
      </c>
      <c r="I243" s="1" t="s">
        <v>35</v>
      </c>
    </row>
    <row r="244" ht="14.25" customHeight="1">
      <c r="C244" s="1"/>
      <c r="D244" s="1"/>
      <c r="F244" s="2" t="str">
        <f>IFERROR(__xludf.DUMMYFUNCTION("""COMPUTED_VALUE"""),"")</f>
        <v/>
      </c>
      <c r="I244" s="1" t="s">
        <v>35</v>
      </c>
    </row>
    <row r="245" ht="14.25" customHeight="1">
      <c r="C245" s="1"/>
      <c r="D245" s="1"/>
      <c r="F245" s="2" t="str">
        <f>IFERROR(__xludf.DUMMYFUNCTION("""COMPUTED_VALUE"""),"")</f>
        <v/>
      </c>
      <c r="I245" s="1" t="s">
        <v>35</v>
      </c>
    </row>
    <row r="246" ht="14.25" customHeight="1">
      <c r="C246" s="1"/>
      <c r="D246" s="1"/>
      <c r="F246" s="2" t="str">
        <f>IFERROR(__xludf.DUMMYFUNCTION("""COMPUTED_VALUE"""),"")</f>
        <v/>
      </c>
      <c r="I246" s="1" t="s">
        <v>35</v>
      </c>
    </row>
    <row r="247" ht="14.25" customHeight="1">
      <c r="C247" s="1"/>
      <c r="D247" s="1"/>
      <c r="F247" s="2" t="str">
        <f>IFERROR(__xludf.DUMMYFUNCTION("""COMPUTED_VALUE"""),"")</f>
        <v/>
      </c>
      <c r="I247" s="1" t="s">
        <v>35</v>
      </c>
    </row>
    <row r="248" ht="14.25" customHeight="1">
      <c r="C248" s="1"/>
      <c r="D248" s="1"/>
      <c r="F248" s="2" t="str">
        <f>IFERROR(__xludf.DUMMYFUNCTION("""COMPUTED_VALUE"""),"")</f>
        <v/>
      </c>
      <c r="I248" s="1" t="s">
        <v>35</v>
      </c>
    </row>
    <row r="249" ht="14.25" customHeight="1">
      <c r="C249" s="1"/>
      <c r="D249" s="1"/>
      <c r="F249" s="2" t="str">
        <f>IFERROR(__xludf.DUMMYFUNCTION("""COMPUTED_VALUE"""),"")</f>
        <v/>
      </c>
      <c r="I249" s="1" t="s">
        <v>35</v>
      </c>
    </row>
    <row r="250" ht="14.25" customHeight="1">
      <c r="C250" s="1"/>
      <c r="D250" s="1"/>
      <c r="F250" s="2" t="str">
        <f>IFERROR(__xludf.DUMMYFUNCTION("""COMPUTED_VALUE"""),"")</f>
        <v/>
      </c>
      <c r="I250" s="1" t="s">
        <v>35</v>
      </c>
    </row>
    <row r="251" ht="14.25" customHeight="1">
      <c r="C251" s="1"/>
      <c r="D251" s="1"/>
      <c r="F251" s="2" t="str">
        <f>IFERROR(__xludf.DUMMYFUNCTION("""COMPUTED_VALUE"""),"")</f>
        <v/>
      </c>
      <c r="I251" s="1" t="s">
        <v>35</v>
      </c>
    </row>
    <row r="252" ht="14.25" customHeight="1">
      <c r="C252" s="1"/>
      <c r="D252" s="1"/>
      <c r="F252" s="2" t="str">
        <f>IFERROR(__xludf.DUMMYFUNCTION("""COMPUTED_VALUE"""),"")</f>
        <v/>
      </c>
      <c r="I252" s="1" t="s">
        <v>35</v>
      </c>
    </row>
    <row r="253" ht="14.25" customHeight="1">
      <c r="C253" s="1"/>
      <c r="D253" s="1"/>
      <c r="F253" s="2" t="str">
        <f>IFERROR(__xludf.DUMMYFUNCTION("""COMPUTED_VALUE"""),"")</f>
        <v/>
      </c>
      <c r="I253" s="1" t="s">
        <v>35</v>
      </c>
    </row>
    <row r="254" ht="14.25" customHeight="1">
      <c r="C254" s="1"/>
      <c r="D254" s="1"/>
      <c r="F254" s="2" t="str">
        <f>IFERROR(__xludf.DUMMYFUNCTION("""COMPUTED_VALUE"""),"")</f>
        <v/>
      </c>
      <c r="I254" s="1" t="s">
        <v>35</v>
      </c>
    </row>
    <row r="255" ht="14.25" customHeight="1">
      <c r="C255" s="1"/>
      <c r="D255" s="1"/>
      <c r="F255" s="2" t="str">
        <f>IFERROR(__xludf.DUMMYFUNCTION("""COMPUTED_VALUE"""),"")</f>
        <v/>
      </c>
      <c r="I255" s="1" t="s">
        <v>35</v>
      </c>
    </row>
    <row r="256" ht="14.25" customHeight="1">
      <c r="C256" s="1"/>
      <c r="D256" s="1"/>
      <c r="F256" s="2" t="str">
        <f>IFERROR(__xludf.DUMMYFUNCTION("""COMPUTED_VALUE"""),"")</f>
        <v/>
      </c>
      <c r="I256" s="1" t="s">
        <v>35</v>
      </c>
    </row>
    <row r="257" ht="14.25" customHeight="1">
      <c r="C257" s="1"/>
      <c r="D257" s="1"/>
      <c r="F257" s="2" t="str">
        <f>IFERROR(__xludf.DUMMYFUNCTION("""COMPUTED_VALUE"""),"")</f>
        <v/>
      </c>
      <c r="I257" s="1" t="s">
        <v>35</v>
      </c>
    </row>
    <row r="258" ht="14.25" customHeight="1">
      <c r="C258" s="1"/>
      <c r="D258" s="1"/>
      <c r="F258" s="2" t="str">
        <f>IFERROR(__xludf.DUMMYFUNCTION("""COMPUTED_VALUE"""),"")</f>
        <v/>
      </c>
      <c r="I258" s="1" t="s">
        <v>35</v>
      </c>
    </row>
    <row r="259" ht="14.25" customHeight="1">
      <c r="C259" s="1"/>
      <c r="D259" s="1"/>
      <c r="F259" s="2" t="str">
        <f>IFERROR(__xludf.DUMMYFUNCTION("""COMPUTED_VALUE"""),"")</f>
        <v/>
      </c>
      <c r="I259" s="1" t="s">
        <v>35</v>
      </c>
    </row>
    <row r="260" ht="14.25" customHeight="1">
      <c r="C260" s="1"/>
      <c r="D260" s="1"/>
      <c r="F260" s="2" t="str">
        <f>IFERROR(__xludf.DUMMYFUNCTION("""COMPUTED_VALUE"""),"")</f>
        <v/>
      </c>
      <c r="I260" s="1" t="s">
        <v>35</v>
      </c>
    </row>
    <row r="261" ht="14.25" customHeight="1">
      <c r="C261" s="1"/>
      <c r="D261" s="1"/>
      <c r="F261" s="2" t="str">
        <f>IFERROR(__xludf.DUMMYFUNCTION("""COMPUTED_VALUE"""),"")</f>
        <v/>
      </c>
      <c r="I261" s="1" t="s">
        <v>35</v>
      </c>
    </row>
    <row r="262" ht="14.25" customHeight="1">
      <c r="C262" s="1"/>
      <c r="D262" s="1"/>
      <c r="F262" s="2" t="str">
        <f>IFERROR(__xludf.DUMMYFUNCTION("""COMPUTED_VALUE"""),"")</f>
        <v/>
      </c>
      <c r="I262" s="1" t="s">
        <v>35</v>
      </c>
    </row>
    <row r="263" ht="14.25" customHeight="1">
      <c r="C263" s="1"/>
      <c r="D263" s="1"/>
      <c r="F263" s="2" t="str">
        <f>IFERROR(__xludf.DUMMYFUNCTION("""COMPUTED_VALUE"""),"")</f>
        <v/>
      </c>
      <c r="I263" s="1" t="s">
        <v>35</v>
      </c>
    </row>
    <row r="264" ht="14.25" customHeight="1">
      <c r="C264" s="1"/>
      <c r="D264" s="1"/>
      <c r="F264" s="2" t="str">
        <f>IFERROR(__xludf.DUMMYFUNCTION("""COMPUTED_VALUE"""),"")</f>
        <v/>
      </c>
      <c r="I264" s="1" t="s">
        <v>35</v>
      </c>
    </row>
    <row r="265" ht="14.25" customHeight="1">
      <c r="C265" s="1"/>
      <c r="D265" s="1"/>
      <c r="F265" s="2" t="str">
        <f>IFERROR(__xludf.DUMMYFUNCTION("""COMPUTED_VALUE"""),"")</f>
        <v/>
      </c>
      <c r="I265" s="1" t="s">
        <v>35</v>
      </c>
    </row>
    <row r="266" ht="14.25" customHeight="1">
      <c r="C266" s="1"/>
      <c r="D266" s="1"/>
      <c r="F266" s="2" t="str">
        <f>IFERROR(__xludf.DUMMYFUNCTION("""COMPUTED_VALUE"""),"")</f>
        <v/>
      </c>
      <c r="I266" s="1" t="s">
        <v>35</v>
      </c>
    </row>
    <row r="267" ht="14.25" customHeight="1">
      <c r="C267" s="1"/>
      <c r="D267" s="1"/>
      <c r="F267" s="2" t="str">
        <f>IFERROR(__xludf.DUMMYFUNCTION("""COMPUTED_VALUE"""),"")</f>
        <v/>
      </c>
      <c r="I267" s="1" t="s">
        <v>35</v>
      </c>
    </row>
    <row r="268" ht="14.25" customHeight="1">
      <c r="C268" s="1"/>
      <c r="D268" s="1"/>
      <c r="F268" s="2" t="str">
        <f>IFERROR(__xludf.DUMMYFUNCTION("""COMPUTED_VALUE"""),"")</f>
        <v/>
      </c>
      <c r="I268" s="1" t="s">
        <v>35</v>
      </c>
    </row>
    <row r="269" ht="14.25" customHeight="1">
      <c r="C269" s="1"/>
      <c r="D269" s="1"/>
      <c r="F269" s="2" t="str">
        <f>IFERROR(__xludf.DUMMYFUNCTION("""COMPUTED_VALUE"""),"")</f>
        <v/>
      </c>
      <c r="I269" s="1" t="s">
        <v>35</v>
      </c>
    </row>
    <row r="270" ht="14.25" customHeight="1">
      <c r="C270" s="1"/>
      <c r="D270" s="1"/>
      <c r="F270" s="2" t="str">
        <f>IFERROR(__xludf.DUMMYFUNCTION("""COMPUTED_VALUE"""),"")</f>
        <v/>
      </c>
      <c r="I270" s="1" t="s">
        <v>35</v>
      </c>
    </row>
    <row r="271" ht="14.25" customHeight="1">
      <c r="C271" s="1"/>
      <c r="D271" s="1"/>
      <c r="F271" s="2" t="str">
        <f>IFERROR(__xludf.DUMMYFUNCTION("""COMPUTED_VALUE"""),"")</f>
        <v/>
      </c>
      <c r="I271" s="1" t="s">
        <v>35</v>
      </c>
    </row>
    <row r="272" ht="14.25" customHeight="1">
      <c r="C272" s="1"/>
      <c r="D272" s="1"/>
      <c r="F272" s="2" t="str">
        <f>IFERROR(__xludf.DUMMYFUNCTION("""COMPUTED_VALUE"""),"")</f>
        <v/>
      </c>
      <c r="I272" s="1" t="s">
        <v>35</v>
      </c>
    </row>
    <row r="273" ht="14.25" customHeight="1">
      <c r="C273" s="1"/>
      <c r="D273" s="1"/>
      <c r="F273" s="2" t="str">
        <f>IFERROR(__xludf.DUMMYFUNCTION("""COMPUTED_VALUE"""),"")</f>
        <v/>
      </c>
      <c r="I273" s="1" t="s">
        <v>35</v>
      </c>
    </row>
    <row r="274" ht="14.25" customHeight="1">
      <c r="C274" s="1"/>
      <c r="D274" s="1"/>
      <c r="F274" s="2" t="str">
        <f>IFERROR(__xludf.DUMMYFUNCTION("""COMPUTED_VALUE"""),"")</f>
        <v/>
      </c>
      <c r="I274" s="1" t="s">
        <v>35</v>
      </c>
    </row>
    <row r="275" ht="14.25" customHeight="1">
      <c r="C275" s="1"/>
      <c r="D275" s="1"/>
      <c r="F275" s="2" t="str">
        <f>IFERROR(__xludf.DUMMYFUNCTION("""COMPUTED_VALUE"""),"")</f>
        <v/>
      </c>
      <c r="I275" s="1" t="s">
        <v>35</v>
      </c>
    </row>
    <row r="276" ht="14.25" customHeight="1">
      <c r="C276" s="1"/>
      <c r="D276" s="1"/>
      <c r="F276" s="2" t="str">
        <f>IFERROR(__xludf.DUMMYFUNCTION("""COMPUTED_VALUE"""),"")</f>
        <v/>
      </c>
      <c r="I276" s="1" t="s">
        <v>35</v>
      </c>
    </row>
    <row r="277" ht="14.25" customHeight="1">
      <c r="C277" s="1"/>
      <c r="D277" s="1"/>
      <c r="F277" s="2" t="str">
        <f>IFERROR(__xludf.DUMMYFUNCTION("""COMPUTED_VALUE"""),"")</f>
        <v/>
      </c>
      <c r="I277" s="1" t="s">
        <v>35</v>
      </c>
    </row>
    <row r="278" ht="14.25" customHeight="1">
      <c r="C278" s="1"/>
      <c r="D278" s="1"/>
      <c r="F278" s="2" t="str">
        <f>IFERROR(__xludf.DUMMYFUNCTION("""COMPUTED_VALUE"""),"")</f>
        <v/>
      </c>
      <c r="I278" s="1" t="s">
        <v>35</v>
      </c>
    </row>
    <row r="279" ht="14.25" customHeight="1">
      <c r="C279" s="1"/>
      <c r="D279" s="1"/>
      <c r="F279" s="2" t="str">
        <f>IFERROR(__xludf.DUMMYFUNCTION("""COMPUTED_VALUE"""),"")</f>
        <v/>
      </c>
      <c r="I279" s="1" t="s">
        <v>35</v>
      </c>
    </row>
    <row r="280" ht="14.25" customHeight="1">
      <c r="C280" s="1"/>
      <c r="D280" s="1"/>
      <c r="F280" s="2" t="str">
        <f>IFERROR(__xludf.DUMMYFUNCTION("""COMPUTED_VALUE"""),"")</f>
        <v/>
      </c>
      <c r="I280" s="1" t="s">
        <v>35</v>
      </c>
    </row>
    <row r="281" ht="14.25" customHeight="1">
      <c r="C281" s="1"/>
      <c r="D281" s="1"/>
      <c r="F281" s="2" t="str">
        <f>IFERROR(__xludf.DUMMYFUNCTION("""COMPUTED_VALUE"""),"")</f>
        <v/>
      </c>
      <c r="I281" s="1" t="s">
        <v>35</v>
      </c>
    </row>
    <row r="282" ht="14.25" customHeight="1">
      <c r="C282" s="1"/>
      <c r="D282" s="1"/>
      <c r="F282" s="2" t="str">
        <f>IFERROR(__xludf.DUMMYFUNCTION("""COMPUTED_VALUE"""),"")</f>
        <v/>
      </c>
      <c r="I282" s="1" t="s">
        <v>35</v>
      </c>
    </row>
    <row r="283" ht="14.25" customHeight="1">
      <c r="C283" s="1"/>
      <c r="D283" s="1"/>
      <c r="F283" s="2" t="str">
        <f>IFERROR(__xludf.DUMMYFUNCTION("""COMPUTED_VALUE"""),"")</f>
        <v/>
      </c>
      <c r="I283" s="1" t="s">
        <v>35</v>
      </c>
    </row>
    <row r="284" ht="14.25" customHeight="1">
      <c r="C284" s="1"/>
      <c r="D284" s="1"/>
      <c r="F284" s="2" t="str">
        <f>IFERROR(__xludf.DUMMYFUNCTION("""COMPUTED_VALUE"""),"")</f>
        <v/>
      </c>
      <c r="I284" s="1" t="s">
        <v>35</v>
      </c>
    </row>
    <row r="285" ht="14.25" customHeight="1">
      <c r="C285" s="1"/>
      <c r="D285" s="1"/>
      <c r="F285" s="2" t="str">
        <f>IFERROR(__xludf.DUMMYFUNCTION("""COMPUTED_VALUE"""),"")</f>
        <v/>
      </c>
      <c r="I285" s="1" t="s">
        <v>35</v>
      </c>
    </row>
    <row r="286" ht="14.25" customHeight="1">
      <c r="C286" s="1"/>
      <c r="D286" s="1"/>
      <c r="F286" s="2" t="str">
        <f>IFERROR(__xludf.DUMMYFUNCTION("""COMPUTED_VALUE"""),"")</f>
        <v/>
      </c>
      <c r="I286" s="1" t="s">
        <v>35</v>
      </c>
    </row>
    <row r="287" ht="14.25" customHeight="1">
      <c r="C287" s="1"/>
      <c r="D287" s="1"/>
      <c r="F287" s="2" t="str">
        <f>IFERROR(__xludf.DUMMYFUNCTION("""COMPUTED_VALUE"""),"")</f>
        <v/>
      </c>
      <c r="I287" s="1" t="s">
        <v>35</v>
      </c>
    </row>
    <row r="288" ht="14.25" customHeight="1">
      <c r="C288" s="1"/>
      <c r="D288" s="1"/>
      <c r="F288" s="2" t="str">
        <f>IFERROR(__xludf.DUMMYFUNCTION("""COMPUTED_VALUE"""),"")</f>
        <v/>
      </c>
      <c r="I288" s="1" t="s">
        <v>35</v>
      </c>
    </row>
    <row r="289" ht="14.25" customHeight="1">
      <c r="C289" s="1"/>
      <c r="D289" s="1"/>
      <c r="F289" s="2" t="str">
        <f>IFERROR(__xludf.DUMMYFUNCTION("""COMPUTED_VALUE"""),"")</f>
        <v/>
      </c>
      <c r="I289" s="1" t="s">
        <v>35</v>
      </c>
    </row>
    <row r="290" ht="14.25" customHeight="1">
      <c r="C290" s="1"/>
      <c r="D290" s="1"/>
      <c r="F290" s="2" t="str">
        <f>IFERROR(__xludf.DUMMYFUNCTION("""COMPUTED_VALUE"""),"")</f>
        <v/>
      </c>
      <c r="I290" s="1" t="s">
        <v>35</v>
      </c>
    </row>
    <row r="291" ht="14.25" customHeight="1">
      <c r="C291" s="1"/>
      <c r="D291" s="1"/>
      <c r="F291" s="2" t="str">
        <f>IFERROR(__xludf.DUMMYFUNCTION("""COMPUTED_VALUE"""),"")</f>
        <v/>
      </c>
      <c r="I291" s="1" t="s">
        <v>35</v>
      </c>
    </row>
    <row r="292" ht="14.25" customHeight="1">
      <c r="C292" s="1"/>
      <c r="D292" s="1"/>
      <c r="F292" s="2" t="str">
        <f>IFERROR(__xludf.DUMMYFUNCTION("""COMPUTED_VALUE"""),"")</f>
        <v/>
      </c>
      <c r="I292" s="1" t="s">
        <v>35</v>
      </c>
    </row>
    <row r="293" ht="14.25" customHeight="1">
      <c r="C293" s="1"/>
      <c r="D293" s="1"/>
      <c r="F293" s="2" t="str">
        <f>IFERROR(__xludf.DUMMYFUNCTION("""COMPUTED_VALUE"""),"")</f>
        <v/>
      </c>
      <c r="I293" s="1" t="s">
        <v>35</v>
      </c>
    </row>
    <row r="294" ht="14.25" customHeight="1">
      <c r="C294" s="1"/>
      <c r="D294" s="1"/>
      <c r="F294" s="2" t="str">
        <f>IFERROR(__xludf.DUMMYFUNCTION("""COMPUTED_VALUE"""),"")</f>
        <v/>
      </c>
      <c r="I294" s="1" t="s">
        <v>35</v>
      </c>
    </row>
    <row r="295" ht="14.25" customHeight="1">
      <c r="C295" s="1"/>
      <c r="D295" s="1"/>
      <c r="F295" s="2" t="str">
        <f>IFERROR(__xludf.DUMMYFUNCTION("""COMPUTED_VALUE"""),"")</f>
        <v/>
      </c>
      <c r="I295" s="1" t="s">
        <v>35</v>
      </c>
    </row>
    <row r="296" ht="14.25" customHeight="1">
      <c r="C296" s="1"/>
      <c r="D296" s="1"/>
      <c r="F296" s="2" t="str">
        <f>IFERROR(__xludf.DUMMYFUNCTION("""COMPUTED_VALUE"""),"")</f>
        <v/>
      </c>
      <c r="I296" s="1" t="s">
        <v>35</v>
      </c>
    </row>
    <row r="297" ht="14.25" customHeight="1">
      <c r="C297" s="1"/>
      <c r="D297" s="1"/>
      <c r="F297" s="2" t="str">
        <f>IFERROR(__xludf.DUMMYFUNCTION("""COMPUTED_VALUE"""),"")</f>
        <v/>
      </c>
      <c r="I297" s="1" t="s">
        <v>35</v>
      </c>
    </row>
    <row r="298" ht="14.25" customHeight="1">
      <c r="C298" s="1"/>
      <c r="D298" s="1"/>
      <c r="F298" s="2" t="str">
        <f>IFERROR(__xludf.DUMMYFUNCTION("""COMPUTED_VALUE"""),"")</f>
        <v/>
      </c>
      <c r="I298" s="1" t="s">
        <v>35</v>
      </c>
    </row>
    <row r="299" ht="14.25" customHeight="1">
      <c r="C299" s="1"/>
      <c r="D299" s="1"/>
      <c r="F299" s="2" t="str">
        <f>IFERROR(__xludf.DUMMYFUNCTION("""COMPUTED_VALUE"""),"")</f>
        <v/>
      </c>
      <c r="I299" s="1" t="s">
        <v>35</v>
      </c>
    </row>
    <row r="300" ht="14.25" customHeight="1">
      <c r="C300" s="1"/>
      <c r="D300" s="1"/>
      <c r="F300" s="2" t="str">
        <f>IFERROR(__xludf.DUMMYFUNCTION("""COMPUTED_VALUE"""),"")</f>
        <v/>
      </c>
      <c r="I300" s="1" t="s">
        <v>35</v>
      </c>
    </row>
    <row r="301" ht="14.25" customHeight="1">
      <c r="C301" s="1"/>
      <c r="D301" s="1"/>
      <c r="F301" s="2" t="str">
        <f>IFERROR(__xludf.DUMMYFUNCTION("""COMPUTED_VALUE"""),"")</f>
        <v/>
      </c>
      <c r="I301" s="1" t="s">
        <v>35</v>
      </c>
    </row>
    <row r="302" ht="14.25" customHeight="1">
      <c r="F302" s="2" t="str">
        <f>IFERROR(__xludf.DUMMYFUNCTION("""COMPUTED_VALUE"""),"")</f>
        <v/>
      </c>
      <c r="I302" s="1" t="s">
        <v>35</v>
      </c>
    </row>
    <row r="303" ht="14.25" customHeight="1">
      <c r="F303" s="2" t="str">
        <f>IFERROR(__xludf.DUMMYFUNCTION("""COMPUTED_VALUE"""),"")</f>
        <v/>
      </c>
      <c r="I303" s="1" t="s">
        <v>35</v>
      </c>
    </row>
    <row r="304" ht="14.25" customHeight="1">
      <c r="F304" s="2" t="str">
        <f>IFERROR(__xludf.DUMMYFUNCTION("""COMPUTED_VALUE"""),"")</f>
        <v/>
      </c>
      <c r="I304" s="1" t="s">
        <v>35</v>
      </c>
    </row>
    <row r="305" ht="14.25" customHeight="1">
      <c r="F305" s="2" t="str">
        <f>IFERROR(__xludf.DUMMYFUNCTION("""COMPUTED_VALUE"""),"")</f>
        <v/>
      </c>
      <c r="I305" s="1" t="s">
        <v>35</v>
      </c>
    </row>
    <row r="306" ht="14.25" customHeight="1">
      <c r="F306" s="2" t="str">
        <f>IFERROR(__xludf.DUMMYFUNCTION("""COMPUTED_VALUE"""),"")</f>
        <v/>
      </c>
      <c r="I306" s="1" t="s">
        <v>35</v>
      </c>
    </row>
    <row r="307" ht="14.25" customHeight="1">
      <c r="F307" s="2" t="str">
        <f>IFERROR(__xludf.DUMMYFUNCTION("""COMPUTED_VALUE"""),"")</f>
        <v/>
      </c>
      <c r="I307" s="1" t="s">
        <v>35</v>
      </c>
    </row>
    <row r="308" ht="14.25" customHeight="1">
      <c r="F308" s="2" t="str">
        <f>IFERROR(__xludf.DUMMYFUNCTION("""COMPUTED_VALUE"""),"")</f>
        <v/>
      </c>
      <c r="I308" s="1" t="s">
        <v>35</v>
      </c>
    </row>
    <row r="309" ht="14.25" customHeight="1">
      <c r="F309" s="2" t="str">
        <f>IFERROR(__xludf.DUMMYFUNCTION("""COMPUTED_VALUE"""),"")</f>
        <v/>
      </c>
      <c r="I309" s="1" t="s">
        <v>35</v>
      </c>
    </row>
    <row r="310" ht="14.25" customHeight="1">
      <c r="F310" s="2" t="str">
        <f>IFERROR(__xludf.DUMMYFUNCTION("""COMPUTED_VALUE"""),"")</f>
        <v/>
      </c>
      <c r="I310" s="1" t="s">
        <v>35</v>
      </c>
    </row>
    <row r="311" ht="14.25" customHeight="1">
      <c r="F311" s="2" t="str">
        <f>IFERROR(__xludf.DUMMYFUNCTION("""COMPUTED_VALUE"""),"")</f>
        <v/>
      </c>
      <c r="I311" s="1" t="s">
        <v>35</v>
      </c>
    </row>
    <row r="312" ht="14.25" customHeight="1">
      <c r="F312" s="2" t="str">
        <f>IFERROR(__xludf.DUMMYFUNCTION("""COMPUTED_VALUE"""),"")</f>
        <v/>
      </c>
      <c r="I312" s="1" t="s">
        <v>35</v>
      </c>
    </row>
    <row r="313" ht="14.25" customHeight="1">
      <c r="F313" s="2" t="str">
        <f>IFERROR(__xludf.DUMMYFUNCTION("""COMPUTED_VALUE"""),"")</f>
        <v/>
      </c>
      <c r="I313" s="1" t="s">
        <v>35</v>
      </c>
    </row>
    <row r="314" ht="14.25" customHeight="1">
      <c r="F314" s="2" t="str">
        <f>IFERROR(__xludf.DUMMYFUNCTION("""COMPUTED_VALUE"""),"")</f>
        <v/>
      </c>
      <c r="I314" s="1" t="s">
        <v>35</v>
      </c>
    </row>
    <row r="315" ht="14.25" customHeight="1">
      <c r="F315" s="2" t="str">
        <f>IFERROR(__xludf.DUMMYFUNCTION("""COMPUTED_VALUE"""),"")</f>
        <v/>
      </c>
      <c r="I315" s="1" t="s">
        <v>35</v>
      </c>
    </row>
    <row r="316" ht="14.25" customHeight="1">
      <c r="F316" s="2" t="str">
        <f>IFERROR(__xludf.DUMMYFUNCTION("""COMPUTED_VALUE"""),"")</f>
        <v/>
      </c>
      <c r="I316" s="1" t="s">
        <v>35</v>
      </c>
    </row>
    <row r="317" ht="14.25" customHeight="1">
      <c r="F317" s="2" t="str">
        <f>IFERROR(__xludf.DUMMYFUNCTION("""COMPUTED_VALUE"""),"")</f>
        <v/>
      </c>
      <c r="I317" s="1" t="s">
        <v>35</v>
      </c>
    </row>
    <row r="318" ht="14.25" customHeight="1">
      <c r="F318" s="2" t="str">
        <f>IFERROR(__xludf.DUMMYFUNCTION("""COMPUTED_VALUE"""),"")</f>
        <v/>
      </c>
      <c r="I318" s="1" t="s">
        <v>35</v>
      </c>
    </row>
    <row r="319" ht="14.25" customHeight="1">
      <c r="F319" s="2" t="str">
        <f>IFERROR(__xludf.DUMMYFUNCTION("""COMPUTED_VALUE"""),"")</f>
        <v/>
      </c>
      <c r="I319" s="1" t="s">
        <v>35</v>
      </c>
    </row>
    <row r="320" ht="14.25" customHeight="1">
      <c r="F320" s="2" t="str">
        <f>IFERROR(__xludf.DUMMYFUNCTION("""COMPUTED_VALUE"""),"")</f>
        <v/>
      </c>
      <c r="I320" s="1" t="s">
        <v>35</v>
      </c>
    </row>
    <row r="321" ht="14.25" customHeight="1">
      <c r="F321" s="2" t="str">
        <f>IFERROR(__xludf.DUMMYFUNCTION("""COMPUTED_VALUE"""),"")</f>
        <v/>
      </c>
      <c r="I321" s="1" t="s">
        <v>35</v>
      </c>
    </row>
    <row r="322" ht="14.25" customHeight="1">
      <c r="F322" s="2" t="str">
        <f>IFERROR(__xludf.DUMMYFUNCTION("""COMPUTED_VALUE"""),"")</f>
        <v/>
      </c>
      <c r="I322" s="1" t="s">
        <v>35</v>
      </c>
    </row>
    <row r="323" ht="14.25" customHeight="1">
      <c r="F323" s="2" t="str">
        <f>IFERROR(__xludf.DUMMYFUNCTION("""COMPUTED_VALUE"""),"")</f>
        <v/>
      </c>
      <c r="I323" s="1" t="s">
        <v>35</v>
      </c>
    </row>
    <row r="324" ht="14.25" customHeight="1">
      <c r="F324" s="2" t="str">
        <f>IFERROR(__xludf.DUMMYFUNCTION("""COMPUTED_VALUE"""),"")</f>
        <v/>
      </c>
      <c r="I324" s="1" t="s">
        <v>35</v>
      </c>
    </row>
    <row r="325" ht="14.25" customHeight="1">
      <c r="F325" s="2" t="str">
        <f>IFERROR(__xludf.DUMMYFUNCTION("""COMPUTED_VALUE"""),"")</f>
        <v/>
      </c>
      <c r="I325" s="1" t="s">
        <v>35</v>
      </c>
    </row>
    <row r="326" ht="14.25" customHeight="1">
      <c r="F326" s="2" t="str">
        <f>IFERROR(__xludf.DUMMYFUNCTION("""COMPUTED_VALUE"""),"")</f>
        <v/>
      </c>
      <c r="I326" s="1" t="s">
        <v>35</v>
      </c>
    </row>
    <row r="327" ht="14.25" customHeight="1">
      <c r="F327" s="2" t="str">
        <f>IFERROR(__xludf.DUMMYFUNCTION("""COMPUTED_VALUE"""),"")</f>
        <v/>
      </c>
      <c r="I327" s="1" t="s">
        <v>35</v>
      </c>
    </row>
    <row r="328" ht="14.25" customHeight="1">
      <c r="F328" s="2" t="str">
        <f>IFERROR(__xludf.DUMMYFUNCTION("""COMPUTED_VALUE"""),"")</f>
        <v/>
      </c>
      <c r="I328" s="1" t="s">
        <v>35</v>
      </c>
    </row>
    <row r="329" ht="14.25" customHeight="1">
      <c r="F329" s="2" t="str">
        <f>IFERROR(__xludf.DUMMYFUNCTION("""COMPUTED_VALUE"""),"")</f>
        <v/>
      </c>
      <c r="I329" s="1" t="s">
        <v>35</v>
      </c>
    </row>
    <row r="330" ht="14.25" customHeight="1">
      <c r="F330" s="2" t="str">
        <f>IFERROR(__xludf.DUMMYFUNCTION("""COMPUTED_VALUE"""),"")</f>
        <v/>
      </c>
      <c r="I330" s="1" t="s">
        <v>35</v>
      </c>
    </row>
    <row r="331" ht="14.25" customHeight="1">
      <c r="F331" s="2" t="str">
        <f>IFERROR(__xludf.DUMMYFUNCTION("""COMPUTED_VALUE"""),"")</f>
        <v/>
      </c>
      <c r="I331" s="1" t="s">
        <v>35</v>
      </c>
    </row>
    <row r="332" ht="14.25" customHeight="1">
      <c r="F332" s="2" t="str">
        <f>IFERROR(__xludf.DUMMYFUNCTION("""COMPUTED_VALUE"""),"")</f>
        <v/>
      </c>
      <c r="I332" s="1" t="s">
        <v>35</v>
      </c>
    </row>
    <row r="333" ht="14.25" customHeight="1">
      <c r="F333" s="2" t="str">
        <f>IFERROR(__xludf.DUMMYFUNCTION("""COMPUTED_VALUE"""),"")</f>
        <v/>
      </c>
      <c r="I333" s="1" t="s">
        <v>35</v>
      </c>
    </row>
    <row r="334" ht="14.25" customHeight="1">
      <c r="F334" s="2" t="str">
        <f>IFERROR(__xludf.DUMMYFUNCTION("""COMPUTED_VALUE"""),"")</f>
        <v/>
      </c>
      <c r="I334" s="1" t="s">
        <v>35</v>
      </c>
    </row>
    <row r="335" ht="14.25" customHeight="1">
      <c r="F335" s="2" t="str">
        <f>IFERROR(__xludf.DUMMYFUNCTION("""COMPUTED_VALUE"""),"")</f>
        <v/>
      </c>
      <c r="I335" s="1" t="s">
        <v>35</v>
      </c>
    </row>
    <row r="336" ht="14.25" customHeight="1">
      <c r="F336" s="2" t="str">
        <f>IFERROR(__xludf.DUMMYFUNCTION("""COMPUTED_VALUE"""),"")</f>
        <v/>
      </c>
      <c r="I336" s="1" t="s">
        <v>35</v>
      </c>
    </row>
    <row r="337" ht="14.25" customHeight="1">
      <c r="F337" s="2" t="str">
        <f>IFERROR(__xludf.DUMMYFUNCTION("""COMPUTED_VALUE"""),"")</f>
        <v/>
      </c>
      <c r="I337" s="1" t="s">
        <v>35</v>
      </c>
    </row>
    <row r="338" ht="14.25" customHeight="1">
      <c r="F338" s="2" t="str">
        <f>IFERROR(__xludf.DUMMYFUNCTION("""COMPUTED_VALUE"""),"")</f>
        <v/>
      </c>
      <c r="I338" s="1" t="s">
        <v>35</v>
      </c>
    </row>
    <row r="339" ht="14.25" customHeight="1">
      <c r="F339" s="2" t="str">
        <f>IFERROR(__xludf.DUMMYFUNCTION("""COMPUTED_VALUE"""),"")</f>
        <v/>
      </c>
      <c r="I339" s="1" t="s">
        <v>35</v>
      </c>
    </row>
    <row r="340" ht="14.25" customHeight="1">
      <c r="F340" s="2" t="str">
        <f>IFERROR(__xludf.DUMMYFUNCTION("""COMPUTED_VALUE"""),"")</f>
        <v/>
      </c>
      <c r="I340" s="1" t="s">
        <v>35</v>
      </c>
    </row>
    <row r="341" ht="14.25" customHeight="1">
      <c r="F341" s="2" t="str">
        <f>IFERROR(__xludf.DUMMYFUNCTION("""COMPUTED_VALUE"""),"")</f>
        <v/>
      </c>
      <c r="I341" s="1" t="s">
        <v>35</v>
      </c>
    </row>
    <row r="342" ht="14.25" customHeight="1">
      <c r="F342" s="2" t="str">
        <f>IFERROR(__xludf.DUMMYFUNCTION("""COMPUTED_VALUE"""),"")</f>
        <v/>
      </c>
      <c r="I342" s="1" t="s">
        <v>35</v>
      </c>
    </row>
    <row r="343" ht="14.25" customHeight="1">
      <c r="F343" s="2" t="str">
        <f>IFERROR(__xludf.DUMMYFUNCTION("""COMPUTED_VALUE"""),"")</f>
        <v/>
      </c>
      <c r="I343" s="1" t="s">
        <v>35</v>
      </c>
    </row>
    <row r="344" ht="14.25" customHeight="1">
      <c r="F344" s="2" t="str">
        <f>IFERROR(__xludf.DUMMYFUNCTION("""COMPUTED_VALUE"""),"")</f>
        <v/>
      </c>
      <c r="I344" s="1" t="s">
        <v>35</v>
      </c>
    </row>
    <row r="345" ht="14.25" customHeight="1">
      <c r="F345" s="2" t="str">
        <f>IFERROR(__xludf.DUMMYFUNCTION("""COMPUTED_VALUE"""),"")</f>
        <v/>
      </c>
      <c r="I345" s="1" t="s">
        <v>35</v>
      </c>
    </row>
    <row r="346" ht="14.25" customHeight="1">
      <c r="F346" s="2" t="str">
        <f>IFERROR(__xludf.DUMMYFUNCTION("""COMPUTED_VALUE"""),"")</f>
        <v/>
      </c>
      <c r="I346" s="1" t="s">
        <v>35</v>
      </c>
    </row>
    <row r="347" ht="14.25" customHeight="1">
      <c r="F347" s="2" t="str">
        <f>IFERROR(__xludf.DUMMYFUNCTION("""COMPUTED_VALUE"""),"")</f>
        <v/>
      </c>
      <c r="I347" s="1" t="s">
        <v>35</v>
      </c>
    </row>
    <row r="348" ht="14.25" customHeight="1">
      <c r="F348" s="2" t="str">
        <f>IFERROR(__xludf.DUMMYFUNCTION("""COMPUTED_VALUE"""),"")</f>
        <v/>
      </c>
      <c r="I348" s="1" t="s">
        <v>35</v>
      </c>
    </row>
    <row r="349" ht="14.25" customHeight="1">
      <c r="F349" s="2" t="str">
        <f>IFERROR(__xludf.DUMMYFUNCTION("""COMPUTED_VALUE"""),"")</f>
        <v/>
      </c>
      <c r="I349" s="1" t="s">
        <v>35</v>
      </c>
    </row>
    <row r="350" ht="14.25" customHeight="1">
      <c r="F350" s="2" t="str">
        <f>IFERROR(__xludf.DUMMYFUNCTION("""COMPUTED_VALUE"""),"")</f>
        <v/>
      </c>
      <c r="I350" s="1" t="s">
        <v>35</v>
      </c>
    </row>
    <row r="351" ht="14.25" customHeight="1">
      <c r="F351" s="2" t="str">
        <f>IFERROR(__xludf.DUMMYFUNCTION("""COMPUTED_VALUE"""),"")</f>
        <v/>
      </c>
      <c r="I351" s="1" t="s">
        <v>35</v>
      </c>
    </row>
    <row r="352" ht="14.25" customHeight="1">
      <c r="F352" s="2" t="str">
        <f>IFERROR(__xludf.DUMMYFUNCTION("""COMPUTED_VALUE"""),"")</f>
        <v/>
      </c>
      <c r="I352" s="1" t="s">
        <v>35</v>
      </c>
    </row>
    <row r="353" ht="14.25" customHeight="1">
      <c r="F353" s="2" t="str">
        <f>IFERROR(__xludf.DUMMYFUNCTION("""COMPUTED_VALUE"""),"")</f>
        <v/>
      </c>
      <c r="I353" s="1" t="s">
        <v>35</v>
      </c>
    </row>
    <row r="354" ht="14.25" customHeight="1">
      <c r="F354" s="2" t="str">
        <f>IFERROR(__xludf.DUMMYFUNCTION("""COMPUTED_VALUE"""),"")</f>
        <v/>
      </c>
      <c r="I354" s="1" t="s">
        <v>35</v>
      </c>
    </row>
    <row r="355" ht="14.25" customHeight="1">
      <c r="F355" s="2" t="str">
        <f>IFERROR(__xludf.DUMMYFUNCTION("""COMPUTED_VALUE"""),"")</f>
        <v/>
      </c>
      <c r="I355" s="1" t="s">
        <v>35</v>
      </c>
    </row>
    <row r="356" ht="14.25" customHeight="1">
      <c r="F356" s="2" t="str">
        <f>IFERROR(__xludf.DUMMYFUNCTION("""COMPUTED_VALUE"""),"")</f>
        <v/>
      </c>
      <c r="I356" s="1" t="s">
        <v>35</v>
      </c>
    </row>
    <row r="357" ht="14.25" customHeight="1">
      <c r="F357" s="2" t="str">
        <f>IFERROR(__xludf.DUMMYFUNCTION("""COMPUTED_VALUE"""),"")</f>
        <v/>
      </c>
      <c r="I357" s="1" t="s">
        <v>35</v>
      </c>
    </row>
    <row r="358" ht="14.25" customHeight="1">
      <c r="F358" s="2" t="str">
        <f>IFERROR(__xludf.DUMMYFUNCTION("""COMPUTED_VALUE"""),"")</f>
        <v/>
      </c>
      <c r="I358" s="1" t="s">
        <v>35</v>
      </c>
    </row>
    <row r="359" ht="14.25" customHeight="1">
      <c r="F359" s="2" t="str">
        <f>IFERROR(__xludf.DUMMYFUNCTION("""COMPUTED_VALUE"""),"")</f>
        <v/>
      </c>
      <c r="I359" s="1" t="s">
        <v>35</v>
      </c>
    </row>
    <row r="360" ht="14.25" customHeight="1">
      <c r="F360" s="2" t="str">
        <f>IFERROR(__xludf.DUMMYFUNCTION("""COMPUTED_VALUE"""),"")</f>
        <v/>
      </c>
      <c r="I360" s="1" t="s">
        <v>35</v>
      </c>
    </row>
    <row r="361" ht="14.25" customHeight="1">
      <c r="F361" s="2" t="str">
        <f>IFERROR(__xludf.DUMMYFUNCTION("""COMPUTED_VALUE"""),"")</f>
        <v/>
      </c>
      <c r="I361" s="1" t="s">
        <v>35</v>
      </c>
    </row>
    <row r="362" ht="14.25" customHeight="1">
      <c r="F362" s="2" t="str">
        <f>IFERROR(__xludf.DUMMYFUNCTION("""COMPUTED_VALUE"""),"")</f>
        <v/>
      </c>
      <c r="I362" s="1" t="s">
        <v>35</v>
      </c>
    </row>
    <row r="363" ht="14.25" customHeight="1">
      <c r="F363" s="2" t="str">
        <f>IFERROR(__xludf.DUMMYFUNCTION("""COMPUTED_VALUE"""),"")</f>
        <v/>
      </c>
      <c r="I363" s="1" t="s">
        <v>35</v>
      </c>
    </row>
    <row r="364" ht="14.25" customHeight="1">
      <c r="F364" s="2" t="str">
        <f>IFERROR(__xludf.DUMMYFUNCTION("""COMPUTED_VALUE"""),"")</f>
        <v/>
      </c>
      <c r="I364" s="1" t="s">
        <v>35</v>
      </c>
    </row>
    <row r="365" ht="14.25" customHeight="1">
      <c r="F365" s="2" t="str">
        <f>IFERROR(__xludf.DUMMYFUNCTION("""COMPUTED_VALUE"""),"")</f>
        <v/>
      </c>
      <c r="I365" s="1" t="s">
        <v>35</v>
      </c>
    </row>
    <row r="366" ht="14.25" customHeight="1">
      <c r="F366" s="2" t="str">
        <f>IFERROR(__xludf.DUMMYFUNCTION("""COMPUTED_VALUE"""),"")</f>
        <v/>
      </c>
      <c r="I366" s="1" t="s">
        <v>35</v>
      </c>
    </row>
    <row r="367" ht="14.25" customHeight="1">
      <c r="F367" s="2" t="str">
        <f>IFERROR(__xludf.DUMMYFUNCTION("""COMPUTED_VALUE"""),"")</f>
        <v/>
      </c>
      <c r="I367" s="1" t="s">
        <v>35</v>
      </c>
    </row>
    <row r="368" ht="14.25" customHeight="1">
      <c r="F368" s="2" t="str">
        <f>IFERROR(__xludf.DUMMYFUNCTION("""COMPUTED_VALUE"""),"")</f>
        <v/>
      </c>
      <c r="I368" s="1" t="s">
        <v>35</v>
      </c>
    </row>
    <row r="369" ht="14.25" customHeight="1">
      <c r="F369" s="2" t="str">
        <f>IFERROR(__xludf.DUMMYFUNCTION("""COMPUTED_VALUE"""),"")</f>
        <v/>
      </c>
      <c r="I369" s="1" t="s">
        <v>35</v>
      </c>
    </row>
    <row r="370" ht="14.25" customHeight="1">
      <c r="F370" s="2" t="str">
        <f>IFERROR(__xludf.DUMMYFUNCTION("""COMPUTED_VALUE"""),"")</f>
        <v/>
      </c>
      <c r="I370" s="1" t="s">
        <v>35</v>
      </c>
    </row>
    <row r="371" ht="14.25" customHeight="1">
      <c r="F371" s="2" t="str">
        <f>IFERROR(__xludf.DUMMYFUNCTION("""COMPUTED_VALUE"""),"")</f>
        <v/>
      </c>
      <c r="I371" s="1" t="s">
        <v>35</v>
      </c>
    </row>
    <row r="372" ht="14.25" customHeight="1">
      <c r="F372" s="2" t="str">
        <f>IFERROR(__xludf.DUMMYFUNCTION("""COMPUTED_VALUE"""),"")</f>
        <v/>
      </c>
      <c r="I372" s="1" t="s">
        <v>35</v>
      </c>
    </row>
    <row r="373" ht="14.25" customHeight="1">
      <c r="F373" s="2" t="str">
        <f>IFERROR(__xludf.DUMMYFUNCTION("""COMPUTED_VALUE"""),"")</f>
        <v/>
      </c>
      <c r="I373" s="1" t="s">
        <v>35</v>
      </c>
    </row>
    <row r="374" ht="14.25" customHeight="1">
      <c r="F374" s="2" t="str">
        <f>IFERROR(__xludf.DUMMYFUNCTION("""COMPUTED_VALUE"""),"")</f>
        <v/>
      </c>
      <c r="I374" s="1" t="s">
        <v>35</v>
      </c>
    </row>
    <row r="375" ht="14.25" customHeight="1">
      <c r="F375" s="2" t="str">
        <f>IFERROR(__xludf.DUMMYFUNCTION("""COMPUTED_VALUE"""),"")</f>
        <v/>
      </c>
      <c r="I375" s="1" t="s">
        <v>35</v>
      </c>
    </row>
    <row r="376" ht="14.25" customHeight="1">
      <c r="F376" s="2" t="str">
        <f>IFERROR(__xludf.DUMMYFUNCTION("""COMPUTED_VALUE"""),"")</f>
        <v/>
      </c>
      <c r="I376" s="1" t="s">
        <v>35</v>
      </c>
    </row>
    <row r="377" ht="14.25" customHeight="1">
      <c r="F377" s="2" t="str">
        <f>IFERROR(__xludf.DUMMYFUNCTION("""COMPUTED_VALUE"""),"")</f>
        <v/>
      </c>
      <c r="I377" s="1" t="s">
        <v>35</v>
      </c>
    </row>
    <row r="378" ht="14.25" customHeight="1">
      <c r="F378" s="2" t="str">
        <f>IFERROR(__xludf.DUMMYFUNCTION("""COMPUTED_VALUE"""),"")</f>
        <v/>
      </c>
      <c r="I378" s="1" t="s">
        <v>35</v>
      </c>
    </row>
    <row r="379" ht="14.25" customHeight="1">
      <c r="F379" s="2" t="str">
        <f>IFERROR(__xludf.DUMMYFUNCTION("""COMPUTED_VALUE"""),"")</f>
        <v/>
      </c>
      <c r="I379" s="1" t="s">
        <v>35</v>
      </c>
    </row>
    <row r="380" ht="14.25" customHeight="1">
      <c r="F380" s="2" t="str">
        <f>IFERROR(__xludf.DUMMYFUNCTION("""COMPUTED_VALUE"""),"")</f>
        <v/>
      </c>
      <c r="I380" s="1" t="s">
        <v>35</v>
      </c>
    </row>
    <row r="381" ht="14.25" customHeight="1">
      <c r="F381" s="2" t="str">
        <f>IFERROR(__xludf.DUMMYFUNCTION("""COMPUTED_VALUE"""),"")</f>
        <v/>
      </c>
      <c r="I381" s="1" t="s">
        <v>35</v>
      </c>
    </row>
    <row r="382" ht="14.25" customHeight="1">
      <c r="F382" s="2" t="str">
        <f>IFERROR(__xludf.DUMMYFUNCTION("""COMPUTED_VALUE"""),"")</f>
        <v/>
      </c>
      <c r="I382" s="1" t="s">
        <v>35</v>
      </c>
    </row>
    <row r="383" ht="14.25" customHeight="1">
      <c r="F383" s="2" t="str">
        <f>IFERROR(__xludf.DUMMYFUNCTION("""COMPUTED_VALUE"""),"")</f>
        <v/>
      </c>
      <c r="I383" s="1" t="s">
        <v>35</v>
      </c>
    </row>
    <row r="384" ht="14.25" customHeight="1">
      <c r="F384" s="2" t="str">
        <f>IFERROR(__xludf.DUMMYFUNCTION("""COMPUTED_VALUE"""),"")</f>
        <v/>
      </c>
      <c r="I384" s="1" t="s">
        <v>35</v>
      </c>
    </row>
    <row r="385" ht="14.25" customHeight="1">
      <c r="F385" s="2" t="str">
        <f>IFERROR(__xludf.DUMMYFUNCTION("""COMPUTED_VALUE"""),"")</f>
        <v/>
      </c>
      <c r="I385" s="1" t="s">
        <v>35</v>
      </c>
    </row>
    <row r="386" ht="14.25" customHeight="1">
      <c r="F386" s="2" t="str">
        <f>IFERROR(__xludf.DUMMYFUNCTION("""COMPUTED_VALUE"""),"")</f>
        <v/>
      </c>
      <c r="I386" s="1" t="s">
        <v>35</v>
      </c>
    </row>
    <row r="387" ht="14.25" customHeight="1">
      <c r="F387" s="2" t="str">
        <f>IFERROR(__xludf.DUMMYFUNCTION("""COMPUTED_VALUE"""),"")</f>
        <v/>
      </c>
      <c r="I387" s="1" t="s">
        <v>35</v>
      </c>
    </row>
    <row r="388" ht="14.25" customHeight="1">
      <c r="F388" s="2" t="str">
        <f>IFERROR(__xludf.DUMMYFUNCTION("""COMPUTED_VALUE"""),"")</f>
        <v/>
      </c>
      <c r="I388" s="1" t="s">
        <v>35</v>
      </c>
    </row>
    <row r="389" ht="14.25" customHeight="1">
      <c r="F389" s="2" t="str">
        <f>IFERROR(__xludf.DUMMYFUNCTION("""COMPUTED_VALUE"""),"")</f>
        <v/>
      </c>
      <c r="I389" s="1" t="s">
        <v>35</v>
      </c>
    </row>
    <row r="390" ht="14.25" customHeight="1">
      <c r="F390" s="2" t="str">
        <f>IFERROR(__xludf.DUMMYFUNCTION("""COMPUTED_VALUE"""),"")</f>
        <v/>
      </c>
      <c r="I390" s="1" t="s">
        <v>35</v>
      </c>
    </row>
    <row r="391" ht="14.25" customHeight="1">
      <c r="F391" s="2" t="str">
        <f>IFERROR(__xludf.DUMMYFUNCTION("""COMPUTED_VALUE"""),"")</f>
        <v/>
      </c>
      <c r="I391" s="1" t="s">
        <v>35</v>
      </c>
    </row>
    <row r="392" ht="14.25" customHeight="1">
      <c r="F392" s="2" t="str">
        <f>IFERROR(__xludf.DUMMYFUNCTION("""COMPUTED_VALUE"""),"")</f>
        <v/>
      </c>
      <c r="I392" s="1" t="s">
        <v>35</v>
      </c>
    </row>
    <row r="393" ht="14.25" customHeight="1">
      <c r="F393" s="2" t="str">
        <f>IFERROR(__xludf.DUMMYFUNCTION("""COMPUTED_VALUE"""),"")</f>
        <v/>
      </c>
      <c r="I393" s="1" t="s">
        <v>35</v>
      </c>
    </row>
    <row r="394" ht="14.25" customHeight="1">
      <c r="F394" s="2" t="str">
        <f>IFERROR(__xludf.DUMMYFUNCTION("""COMPUTED_VALUE"""),"")</f>
        <v/>
      </c>
      <c r="I394" s="1" t="s">
        <v>35</v>
      </c>
    </row>
    <row r="395" ht="14.25" customHeight="1">
      <c r="F395" s="2" t="str">
        <f>IFERROR(__xludf.DUMMYFUNCTION("""COMPUTED_VALUE"""),"")</f>
        <v/>
      </c>
      <c r="I395" s="1" t="s">
        <v>35</v>
      </c>
    </row>
    <row r="396" ht="14.25" customHeight="1">
      <c r="F396" s="2" t="str">
        <f>IFERROR(__xludf.DUMMYFUNCTION("""COMPUTED_VALUE"""),"")</f>
        <v/>
      </c>
      <c r="I396" s="1" t="s">
        <v>35</v>
      </c>
    </row>
    <row r="397" ht="14.25" customHeight="1">
      <c r="F397" s="2" t="str">
        <f>IFERROR(__xludf.DUMMYFUNCTION("""COMPUTED_VALUE"""),"")</f>
        <v/>
      </c>
      <c r="I397" s="1" t="s">
        <v>35</v>
      </c>
    </row>
    <row r="398" ht="14.25" customHeight="1">
      <c r="F398" s="2" t="str">
        <f>IFERROR(__xludf.DUMMYFUNCTION("""COMPUTED_VALUE"""),"")</f>
        <v/>
      </c>
      <c r="I398" s="1" t="s">
        <v>35</v>
      </c>
    </row>
    <row r="399" ht="14.25" customHeight="1">
      <c r="F399" s="2" t="str">
        <f>IFERROR(__xludf.DUMMYFUNCTION("""COMPUTED_VALUE"""),"")</f>
        <v/>
      </c>
      <c r="I399" s="1" t="s">
        <v>35</v>
      </c>
    </row>
    <row r="400" ht="14.25" customHeight="1">
      <c r="F400" s="2" t="str">
        <f>IFERROR(__xludf.DUMMYFUNCTION("""COMPUTED_VALUE"""),"")</f>
        <v/>
      </c>
      <c r="I400" s="1" t="s">
        <v>35</v>
      </c>
    </row>
    <row r="401" ht="14.25" customHeight="1">
      <c r="F401" s="2" t="str">
        <f>IFERROR(__xludf.DUMMYFUNCTION("""COMPUTED_VALUE"""),"")</f>
        <v/>
      </c>
      <c r="I401" s="1" t="s">
        <v>35</v>
      </c>
    </row>
    <row r="402" ht="14.25" customHeight="1">
      <c r="F402" s="2" t="str">
        <f>IFERROR(__xludf.DUMMYFUNCTION("""COMPUTED_VALUE"""),"")</f>
        <v/>
      </c>
      <c r="I402" s="1" t="s">
        <v>35</v>
      </c>
    </row>
    <row r="403" ht="14.25" customHeight="1">
      <c r="F403" s="2" t="str">
        <f>IFERROR(__xludf.DUMMYFUNCTION("""COMPUTED_VALUE"""),"")</f>
        <v/>
      </c>
      <c r="I403" s="1" t="s">
        <v>35</v>
      </c>
    </row>
    <row r="404" ht="14.25" customHeight="1">
      <c r="F404" s="2" t="str">
        <f>IFERROR(__xludf.DUMMYFUNCTION("""COMPUTED_VALUE"""),"")</f>
        <v/>
      </c>
      <c r="I404" s="1" t="s">
        <v>35</v>
      </c>
    </row>
    <row r="405" ht="14.25" customHeight="1">
      <c r="F405" s="2" t="str">
        <f>IFERROR(__xludf.DUMMYFUNCTION("""COMPUTED_VALUE"""),"")</f>
        <v/>
      </c>
      <c r="I405" s="1" t="s">
        <v>35</v>
      </c>
    </row>
    <row r="406" ht="14.25" customHeight="1">
      <c r="F406" s="2" t="str">
        <f>IFERROR(__xludf.DUMMYFUNCTION("""COMPUTED_VALUE"""),"")</f>
        <v/>
      </c>
      <c r="I406" s="1" t="s">
        <v>35</v>
      </c>
    </row>
    <row r="407" ht="14.25" customHeight="1">
      <c r="F407" s="2" t="str">
        <f>IFERROR(__xludf.DUMMYFUNCTION("""COMPUTED_VALUE"""),"")</f>
        <v/>
      </c>
      <c r="I407" s="1" t="s">
        <v>35</v>
      </c>
    </row>
    <row r="408" ht="14.25" customHeight="1">
      <c r="F408" s="2" t="str">
        <f>IFERROR(__xludf.DUMMYFUNCTION("""COMPUTED_VALUE"""),"")</f>
        <v/>
      </c>
      <c r="I408" s="1" t="s">
        <v>35</v>
      </c>
    </row>
    <row r="409" ht="14.25" customHeight="1">
      <c r="F409" s="2" t="str">
        <f>IFERROR(__xludf.DUMMYFUNCTION("""COMPUTED_VALUE"""),"")</f>
        <v/>
      </c>
      <c r="I409" s="1" t="s">
        <v>35</v>
      </c>
    </row>
    <row r="410" ht="14.25" customHeight="1">
      <c r="F410" s="2" t="str">
        <f>IFERROR(__xludf.DUMMYFUNCTION("""COMPUTED_VALUE"""),"")</f>
        <v/>
      </c>
      <c r="I410" s="1" t="s">
        <v>35</v>
      </c>
    </row>
    <row r="411" ht="14.25" customHeight="1">
      <c r="F411" s="2" t="str">
        <f>IFERROR(__xludf.DUMMYFUNCTION("""COMPUTED_VALUE"""),"")</f>
        <v/>
      </c>
      <c r="I411" s="1" t="s">
        <v>35</v>
      </c>
    </row>
    <row r="412" ht="14.25" customHeight="1">
      <c r="F412" s="2" t="str">
        <f>IFERROR(__xludf.DUMMYFUNCTION("""COMPUTED_VALUE"""),"")</f>
        <v/>
      </c>
      <c r="I412" s="1" t="s">
        <v>35</v>
      </c>
    </row>
    <row r="413" ht="14.25" customHeight="1">
      <c r="F413" s="2" t="str">
        <f>IFERROR(__xludf.DUMMYFUNCTION("""COMPUTED_VALUE"""),"")</f>
        <v/>
      </c>
      <c r="I413" s="1" t="s">
        <v>35</v>
      </c>
    </row>
    <row r="414" ht="14.25" customHeight="1">
      <c r="F414" s="2" t="str">
        <f>IFERROR(__xludf.DUMMYFUNCTION("""COMPUTED_VALUE"""),"")</f>
        <v/>
      </c>
      <c r="I414" s="1" t="s">
        <v>35</v>
      </c>
    </row>
    <row r="415" ht="14.25" customHeight="1">
      <c r="F415" s="2" t="str">
        <f>IFERROR(__xludf.DUMMYFUNCTION("""COMPUTED_VALUE"""),"")</f>
        <v/>
      </c>
      <c r="I415" s="1" t="s">
        <v>35</v>
      </c>
    </row>
    <row r="416" ht="14.25" customHeight="1">
      <c r="F416" s="2" t="str">
        <f>IFERROR(__xludf.DUMMYFUNCTION("""COMPUTED_VALUE"""),"")</f>
        <v/>
      </c>
      <c r="I416" s="1" t="s">
        <v>35</v>
      </c>
    </row>
    <row r="417" ht="14.25" customHeight="1">
      <c r="F417" s="2" t="str">
        <f>IFERROR(__xludf.DUMMYFUNCTION("""COMPUTED_VALUE"""),"")</f>
        <v/>
      </c>
      <c r="I417" s="1" t="s">
        <v>35</v>
      </c>
    </row>
    <row r="418" ht="14.25" customHeight="1">
      <c r="F418" s="2" t="str">
        <f>IFERROR(__xludf.DUMMYFUNCTION("""COMPUTED_VALUE"""),"")</f>
        <v/>
      </c>
      <c r="I418" s="1" t="s">
        <v>35</v>
      </c>
    </row>
    <row r="419" ht="14.25" customHeight="1">
      <c r="F419" s="2" t="str">
        <f>IFERROR(__xludf.DUMMYFUNCTION("""COMPUTED_VALUE"""),"")</f>
        <v/>
      </c>
      <c r="I419" s="1" t="s">
        <v>35</v>
      </c>
    </row>
    <row r="420" ht="14.25" customHeight="1">
      <c r="F420" s="2" t="str">
        <f>IFERROR(__xludf.DUMMYFUNCTION("""COMPUTED_VALUE"""),"")</f>
        <v/>
      </c>
      <c r="I420" s="1" t="s">
        <v>35</v>
      </c>
    </row>
    <row r="421" ht="14.25" customHeight="1">
      <c r="F421" s="2" t="str">
        <f>IFERROR(__xludf.DUMMYFUNCTION("""COMPUTED_VALUE"""),"")</f>
        <v/>
      </c>
      <c r="I421" s="1" t="s">
        <v>35</v>
      </c>
    </row>
    <row r="422" ht="14.25" customHeight="1">
      <c r="F422" s="2" t="str">
        <f>IFERROR(__xludf.DUMMYFUNCTION("""COMPUTED_VALUE"""),"")</f>
        <v/>
      </c>
      <c r="I422" s="1" t="s">
        <v>35</v>
      </c>
    </row>
    <row r="423" ht="14.25" customHeight="1">
      <c r="F423" s="2" t="str">
        <f>IFERROR(__xludf.DUMMYFUNCTION("""COMPUTED_VALUE"""),"")</f>
        <v/>
      </c>
      <c r="I423" s="1" t="s">
        <v>35</v>
      </c>
    </row>
    <row r="424" ht="14.25" customHeight="1">
      <c r="F424" s="2" t="str">
        <f>IFERROR(__xludf.DUMMYFUNCTION("""COMPUTED_VALUE"""),"")</f>
        <v/>
      </c>
      <c r="I424" s="1" t="s">
        <v>35</v>
      </c>
    </row>
    <row r="425" ht="14.25" customHeight="1">
      <c r="F425" s="2" t="str">
        <f>IFERROR(__xludf.DUMMYFUNCTION("""COMPUTED_VALUE"""),"")</f>
        <v/>
      </c>
      <c r="I425" s="1" t="s">
        <v>35</v>
      </c>
    </row>
    <row r="426" ht="14.25" customHeight="1">
      <c r="F426" s="2" t="str">
        <f>IFERROR(__xludf.DUMMYFUNCTION("""COMPUTED_VALUE"""),"")</f>
        <v/>
      </c>
      <c r="I426" s="1" t="s">
        <v>35</v>
      </c>
    </row>
    <row r="427" ht="14.25" customHeight="1">
      <c r="F427" s="2" t="str">
        <f>IFERROR(__xludf.DUMMYFUNCTION("""COMPUTED_VALUE"""),"")</f>
        <v/>
      </c>
      <c r="I427" s="1" t="s">
        <v>35</v>
      </c>
    </row>
    <row r="428" ht="14.25" customHeight="1">
      <c r="F428" s="2" t="str">
        <f>IFERROR(__xludf.DUMMYFUNCTION("""COMPUTED_VALUE"""),"")</f>
        <v/>
      </c>
      <c r="I428" s="1" t="s">
        <v>35</v>
      </c>
    </row>
    <row r="429" ht="14.25" customHeight="1">
      <c r="F429" s="2" t="str">
        <f>IFERROR(__xludf.DUMMYFUNCTION("""COMPUTED_VALUE"""),"")</f>
        <v/>
      </c>
      <c r="I429" s="1" t="s">
        <v>35</v>
      </c>
    </row>
    <row r="430" ht="14.25" customHeight="1">
      <c r="F430" s="2" t="str">
        <f>IFERROR(__xludf.DUMMYFUNCTION("""COMPUTED_VALUE"""),"")</f>
        <v/>
      </c>
      <c r="I430" s="1" t="s">
        <v>35</v>
      </c>
    </row>
    <row r="431" ht="14.25" customHeight="1">
      <c r="F431" s="2" t="str">
        <f>IFERROR(__xludf.DUMMYFUNCTION("""COMPUTED_VALUE"""),"")</f>
        <v/>
      </c>
      <c r="I431" s="1" t="s">
        <v>35</v>
      </c>
    </row>
    <row r="432" ht="14.25" customHeight="1">
      <c r="F432" s="2" t="str">
        <f>IFERROR(__xludf.DUMMYFUNCTION("""COMPUTED_VALUE"""),"")</f>
        <v/>
      </c>
      <c r="I432" s="1" t="s">
        <v>35</v>
      </c>
    </row>
    <row r="433" ht="14.25" customHeight="1">
      <c r="F433" s="2" t="str">
        <f>IFERROR(__xludf.DUMMYFUNCTION("""COMPUTED_VALUE"""),"")</f>
        <v/>
      </c>
      <c r="I433" s="1" t="s">
        <v>35</v>
      </c>
    </row>
    <row r="434" ht="14.25" customHeight="1">
      <c r="F434" s="2" t="str">
        <f>IFERROR(__xludf.DUMMYFUNCTION("""COMPUTED_VALUE"""),"")</f>
        <v/>
      </c>
      <c r="I434" s="1" t="s">
        <v>35</v>
      </c>
    </row>
    <row r="435" ht="14.25" customHeight="1">
      <c r="F435" s="2" t="str">
        <f>IFERROR(__xludf.DUMMYFUNCTION("""COMPUTED_VALUE"""),"")</f>
        <v/>
      </c>
      <c r="I435" s="1" t="s">
        <v>35</v>
      </c>
    </row>
    <row r="436" ht="14.25" customHeight="1">
      <c r="F436" s="2" t="str">
        <f>IFERROR(__xludf.DUMMYFUNCTION("""COMPUTED_VALUE"""),"")</f>
        <v/>
      </c>
      <c r="I436" s="1" t="s">
        <v>35</v>
      </c>
    </row>
    <row r="437" ht="14.25" customHeight="1">
      <c r="F437" s="2" t="str">
        <f>IFERROR(__xludf.DUMMYFUNCTION("""COMPUTED_VALUE"""),"")</f>
        <v/>
      </c>
      <c r="I437" s="1" t="s">
        <v>35</v>
      </c>
    </row>
    <row r="438" ht="14.25" customHeight="1">
      <c r="F438" s="2" t="str">
        <f>IFERROR(__xludf.DUMMYFUNCTION("""COMPUTED_VALUE"""),"")</f>
        <v/>
      </c>
      <c r="I438" s="1" t="s">
        <v>35</v>
      </c>
    </row>
    <row r="439" ht="14.25" customHeight="1">
      <c r="F439" s="2" t="str">
        <f>IFERROR(__xludf.DUMMYFUNCTION("""COMPUTED_VALUE"""),"")</f>
        <v/>
      </c>
      <c r="I439" s="1" t="s">
        <v>35</v>
      </c>
    </row>
    <row r="440" ht="14.25" customHeight="1">
      <c r="F440" s="2" t="str">
        <f>IFERROR(__xludf.DUMMYFUNCTION("""COMPUTED_VALUE"""),"")</f>
        <v/>
      </c>
      <c r="I440" s="1" t="s">
        <v>35</v>
      </c>
    </row>
    <row r="441" ht="14.25" customHeight="1">
      <c r="F441" s="2" t="str">
        <f>IFERROR(__xludf.DUMMYFUNCTION("""COMPUTED_VALUE"""),"")</f>
        <v/>
      </c>
      <c r="I441" s="1" t="s">
        <v>35</v>
      </c>
    </row>
    <row r="442" ht="14.25" customHeight="1">
      <c r="F442" s="2" t="str">
        <f>IFERROR(__xludf.DUMMYFUNCTION("""COMPUTED_VALUE"""),"")</f>
        <v/>
      </c>
      <c r="I442" s="1" t="s">
        <v>35</v>
      </c>
    </row>
    <row r="443" ht="14.25" customHeight="1">
      <c r="F443" s="2" t="str">
        <f>IFERROR(__xludf.DUMMYFUNCTION("""COMPUTED_VALUE"""),"")</f>
        <v/>
      </c>
      <c r="I443" s="1" t="s">
        <v>35</v>
      </c>
    </row>
    <row r="444" ht="14.25" customHeight="1">
      <c r="F444" s="2" t="str">
        <f>IFERROR(__xludf.DUMMYFUNCTION("""COMPUTED_VALUE"""),"")</f>
        <v/>
      </c>
      <c r="I444" s="1" t="s">
        <v>35</v>
      </c>
    </row>
    <row r="445" ht="14.25" customHeight="1">
      <c r="F445" s="2" t="str">
        <f>IFERROR(__xludf.DUMMYFUNCTION("""COMPUTED_VALUE"""),"")</f>
        <v/>
      </c>
      <c r="I445" s="1" t="s">
        <v>35</v>
      </c>
    </row>
    <row r="446" ht="14.25" customHeight="1">
      <c r="F446" s="2" t="str">
        <f>IFERROR(__xludf.DUMMYFUNCTION("""COMPUTED_VALUE"""),"")</f>
        <v/>
      </c>
      <c r="I446" s="1" t="s">
        <v>35</v>
      </c>
    </row>
    <row r="447" ht="14.25" customHeight="1">
      <c r="F447" s="2" t="str">
        <f>IFERROR(__xludf.DUMMYFUNCTION("""COMPUTED_VALUE"""),"")</f>
        <v/>
      </c>
      <c r="I447" s="1" t="s">
        <v>35</v>
      </c>
    </row>
    <row r="448" ht="14.25" customHeight="1">
      <c r="F448" s="2" t="str">
        <f>IFERROR(__xludf.DUMMYFUNCTION("""COMPUTED_VALUE"""),"")</f>
        <v/>
      </c>
      <c r="I448" s="1" t="s">
        <v>35</v>
      </c>
    </row>
    <row r="449" ht="14.25" customHeight="1">
      <c r="F449" s="2" t="str">
        <f>IFERROR(__xludf.DUMMYFUNCTION("""COMPUTED_VALUE"""),"")</f>
        <v/>
      </c>
      <c r="I449" s="1" t="s">
        <v>35</v>
      </c>
    </row>
    <row r="450" ht="14.25" customHeight="1">
      <c r="F450" s="2" t="str">
        <f>IFERROR(__xludf.DUMMYFUNCTION("""COMPUTED_VALUE"""),"")</f>
        <v/>
      </c>
      <c r="I450" s="1" t="s">
        <v>35</v>
      </c>
    </row>
    <row r="451" ht="14.25" customHeight="1">
      <c r="F451" s="2" t="str">
        <f>IFERROR(__xludf.DUMMYFUNCTION("""COMPUTED_VALUE"""),"")</f>
        <v/>
      </c>
      <c r="I451" s="1" t="s">
        <v>35</v>
      </c>
    </row>
    <row r="452" ht="14.25" customHeight="1">
      <c r="F452" s="2" t="str">
        <f>IFERROR(__xludf.DUMMYFUNCTION("""COMPUTED_VALUE"""),"")</f>
        <v/>
      </c>
      <c r="I452" s="1" t="s">
        <v>35</v>
      </c>
    </row>
    <row r="453" ht="14.25" customHeight="1">
      <c r="F453" s="2" t="str">
        <f>IFERROR(__xludf.DUMMYFUNCTION("""COMPUTED_VALUE"""),"")</f>
        <v/>
      </c>
      <c r="I453" s="1" t="s">
        <v>35</v>
      </c>
    </row>
    <row r="454" ht="14.25" customHeight="1">
      <c r="F454" s="2" t="str">
        <f>IFERROR(__xludf.DUMMYFUNCTION("""COMPUTED_VALUE"""),"")</f>
        <v/>
      </c>
      <c r="I454" s="1" t="s">
        <v>35</v>
      </c>
    </row>
    <row r="455" ht="14.25" customHeight="1">
      <c r="F455" s="2" t="str">
        <f>IFERROR(__xludf.DUMMYFUNCTION("""COMPUTED_VALUE"""),"")</f>
        <v/>
      </c>
      <c r="I455" s="1" t="s">
        <v>35</v>
      </c>
    </row>
    <row r="456" ht="14.25" customHeight="1">
      <c r="F456" s="2" t="str">
        <f>IFERROR(__xludf.DUMMYFUNCTION("""COMPUTED_VALUE"""),"")</f>
        <v/>
      </c>
      <c r="I456" s="1" t="s">
        <v>35</v>
      </c>
    </row>
    <row r="457" ht="14.25" customHeight="1">
      <c r="F457" s="2" t="str">
        <f>IFERROR(__xludf.DUMMYFUNCTION("""COMPUTED_VALUE"""),"")</f>
        <v/>
      </c>
      <c r="I457" s="1" t="s">
        <v>35</v>
      </c>
    </row>
    <row r="458" ht="14.25" customHeight="1">
      <c r="F458" s="2" t="str">
        <f>IFERROR(__xludf.DUMMYFUNCTION("""COMPUTED_VALUE"""),"")</f>
        <v/>
      </c>
      <c r="I458" s="1" t="s">
        <v>35</v>
      </c>
    </row>
    <row r="459" ht="14.25" customHeight="1">
      <c r="F459" s="2" t="str">
        <f>IFERROR(__xludf.DUMMYFUNCTION("""COMPUTED_VALUE"""),"")</f>
        <v/>
      </c>
      <c r="I459" s="1" t="s">
        <v>35</v>
      </c>
    </row>
    <row r="460" ht="14.25" customHeight="1">
      <c r="F460" s="2" t="str">
        <f>IFERROR(__xludf.DUMMYFUNCTION("""COMPUTED_VALUE"""),"")</f>
        <v/>
      </c>
      <c r="I460" s="1" t="s">
        <v>35</v>
      </c>
    </row>
    <row r="461" ht="14.25" customHeight="1">
      <c r="F461" s="2" t="str">
        <f>IFERROR(__xludf.DUMMYFUNCTION("""COMPUTED_VALUE"""),"")</f>
        <v/>
      </c>
      <c r="I461" s="1" t="s">
        <v>35</v>
      </c>
    </row>
    <row r="462" ht="14.25" customHeight="1">
      <c r="F462" s="2" t="str">
        <f>IFERROR(__xludf.DUMMYFUNCTION("""COMPUTED_VALUE"""),"")</f>
        <v/>
      </c>
      <c r="I462" s="1" t="s">
        <v>35</v>
      </c>
    </row>
    <row r="463" ht="14.25" customHeight="1">
      <c r="F463" s="2" t="str">
        <f>IFERROR(__xludf.DUMMYFUNCTION("""COMPUTED_VALUE"""),"")</f>
        <v/>
      </c>
      <c r="I463" s="1" t="s">
        <v>35</v>
      </c>
    </row>
    <row r="464" ht="14.25" customHeight="1">
      <c r="F464" s="2" t="str">
        <f>IFERROR(__xludf.DUMMYFUNCTION("""COMPUTED_VALUE"""),"")</f>
        <v/>
      </c>
      <c r="I464" s="1" t="s">
        <v>35</v>
      </c>
    </row>
    <row r="465" ht="14.25" customHeight="1">
      <c r="F465" s="2" t="str">
        <f>IFERROR(__xludf.DUMMYFUNCTION("""COMPUTED_VALUE"""),"")</f>
        <v/>
      </c>
      <c r="I465" s="1" t="s">
        <v>35</v>
      </c>
    </row>
    <row r="466" ht="14.25" customHeight="1">
      <c r="F466" s="2" t="str">
        <f>IFERROR(__xludf.DUMMYFUNCTION("""COMPUTED_VALUE"""),"")</f>
        <v/>
      </c>
      <c r="I466" s="1" t="s">
        <v>35</v>
      </c>
    </row>
    <row r="467" ht="14.25" customHeight="1">
      <c r="F467" s="2" t="str">
        <f>IFERROR(__xludf.DUMMYFUNCTION("""COMPUTED_VALUE"""),"")</f>
        <v/>
      </c>
      <c r="I467" s="1" t="s">
        <v>35</v>
      </c>
    </row>
    <row r="468" ht="14.25" customHeight="1">
      <c r="F468" s="2" t="str">
        <f>IFERROR(__xludf.DUMMYFUNCTION("""COMPUTED_VALUE"""),"")</f>
        <v/>
      </c>
      <c r="I468" s="1" t="s">
        <v>35</v>
      </c>
    </row>
    <row r="469" ht="14.25" customHeight="1">
      <c r="F469" s="2" t="str">
        <f>IFERROR(__xludf.DUMMYFUNCTION("""COMPUTED_VALUE"""),"")</f>
        <v/>
      </c>
      <c r="I469" s="1" t="s">
        <v>35</v>
      </c>
    </row>
    <row r="470" ht="14.25" customHeight="1">
      <c r="F470" s="2" t="str">
        <f>IFERROR(__xludf.DUMMYFUNCTION("""COMPUTED_VALUE"""),"")</f>
        <v/>
      </c>
      <c r="I470" s="1" t="s">
        <v>35</v>
      </c>
    </row>
    <row r="471" ht="14.25" customHeight="1">
      <c r="F471" s="2" t="str">
        <f>IFERROR(__xludf.DUMMYFUNCTION("""COMPUTED_VALUE"""),"")</f>
        <v/>
      </c>
      <c r="I471" s="1" t="s">
        <v>35</v>
      </c>
    </row>
    <row r="472" ht="14.25" customHeight="1">
      <c r="F472" s="2" t="str">
        <f>IFERROR(__xludf.DUMMYFUNCTION("""COMPUTED_VALUE"""),"")</f>
        <v/>
      </c>
      <c r="I472" s="1" t="s">
        <v>35</v>
      </c>
    </row>
    <row r="473" ht="14.25" customHeight="1">
      <c r="F473" s="2" t="str">
        <f>IFERROR(__xludf.DUMMYFUNCTION("""COMPUTED_VALUE"""),"")</f>
        <v/>
      </c>
      <c r="I473" s="1" t="s">
        <v>35</v>
      </c>
    </row>
    <row r="474" ht="14.25" customHeight="1">
      <c r="F474" s="2" t="str">
        <f>IFERROR(__xludf.DUMMYFUNCTION("""COMPUTED_VALUE"""),"")</f>
        <v/>
      </c>
      <c r="I474" s="1" t="s">
        <v>35</v>
      </c>
    </row>
    <row r="475" ht="14.25" customHeight="1">
      <c r="F475" s="2" t="str">
        <f>IFERROR(__xludf.DUMMYFUNCTION("""COMPUTED_VALUE"""),"")</f>
        <v/>
      </c>
      <c r="I475" s="1" t="s">
        <v>35</v>
      </c>
    </row>
    <row r="476" ht="14.25" customHeight="1">
      <c r="F476" s="2" t="str">
        <f>IFERROR(__xludf.DUMMYFUNCTION("""COMPUTED_VALUE"""),"")</f>
        <v/>
      </c>
      <c r="I476" s="1" t="s">
        <v>35</v>
      </c>
    </row>
    <row r="477" ht="14.25" customHeight="1">
      <c r="F477" s="2" t="str">
        <f>IFERROR(__xludf.DUMMYFUNCTION("""COMPUTED_VALUE"""),"")</f>
        <v/>
      </c>
      <c r="I477" s="1" t="s">
        <v>35</v>
      </c>
    </row>
    <row r="478" ht="14.25" customHeight="1">
      <c r="F478" s="2" t="str">
        <f>IFERROR(__xludf.DUMMYFUNCTION("""COMPUTED_VALUE"""),"")</f>
        <v/>
      </c>
      <c r="I478" s="1" t="s">
        <v>35</v>
      </c>
    </row>
    <row r="479" ht="14.25" customHeight="1">
      <c r="F479" s="2" t="str">
        <f>IFERROR(__xludf.DUMMYFUNCTION("""COMPUTED_VALUE"""),"")</f>
        <v/>
      </c>
      <c r="I479" s="1" t="s">
        <v>35</v>
      </c>
    </row>
    <row r="480" ht="14.25" customHeight="1">
      <c r="F480" s="2" t="str">
        <f>IFERROR(__xludf.DUMMYFUNCTION("""COMPUTED_VALUE"""),"")</f>
        <v/>
      </c>
      <c r="I480" s="1" t="s">
        <v>35</v>
      </c>
    </row>
    <row r="481" ht="14.25" customHeight="1">
      <c r="F481" s="2" t="str">
        <f>IFERROR(__xludf.DUMMYFUNCTION("""COMPUTED_VALUE"""),"")</f>
        <v/>
      </c>
      <c r="I481" s="1" t="s">
        <v>35</v>
      </c>
    </row>
    <row r="482" ht="14.25" customHeight="1">
      <c r="F482" s="2" t="str">
        <f>IFERROR(__xludf.DUMMYFUNCTION("""COMPUTED_VALUE"""),"")</f>
        <v/>
      </c>
      <c r="I482" s="1" t="s">
        <v>35</v>
      </c>
    </row>
    <row r="483" ht="14.25" customHeight="1">
      <c r="F483" s="2" t="str">
        <f>IFERROR(__xludf.DUMMYFUNCTION("""COMPUTED_VALUE"""),"")</f>
        <v/>
      </c>
      <c r="I483" s="1" t="s">
        <v>35</v>
      </c>
    </row>
    <row r="484" ht="14.25" customHeight="1">
      <c r="F484" s="2" t="str">
        <f>IFERROR(__xludf.DUMMYFUNCTION("""COMPUTED_VALUE"""),"")</f>
        <v/>
      </c>
      <c r="I484" s="1" t="s">
        <v>35</v>
      </c>
    </row>
    <row r="485" ht="14.25" customHeight="1">
      <c r="F485" s="2" t="str">
        <f>IFERROR(__xludf.DUMMYFUNCTION("""COMPUTED_VALUE"""),"")</f>
        <v/>
      </c>
      <c r="I485" s="1" t="s">
        <v>35</v>
      </c>
    </row>
    <row r="486" ht="14.25" customHeight="1">
      <c r="F486" s="2" t="str">
        <f>IFERROR(__xludf.DUMMYFUNCTION("""COMPUTED_VALUE"""),"")</f>
        <v/>
      </c>
      <c r="I486" s="1" t="s">
        <v>35</v>
      </c>
    </row>
    <row r="487" ht="14.25" customHeight="1">
      <c r="F487" s="2" t="str">
        <f>IFERROR(__xludf.DUMMYFUNCTION("""COMPUTED_VALUE"""),"")</f>
        <v/>
      </c>
      <c r="I487" s="1" t="s">
        <v>35</v>
      </c>
    </row>
    <row r="488" ht="14.25" customHeight="1">
      <c r="F488" s="2" t="str">
        <f>IFERROR(__xludf.DUMMYFUNCTION("""COMPUTED_VALUE"""),"")</f>
        <v/>
      </c>
      <c r="I488" s="1" t="s">
        <v>35</v>
      </c>
    </row>
    <row r="489" ht="14.25" customHeight="1">
      <c r="F489" s="2" t="str">
        <f>IFERROR(__xludf.DUMMYFUNCTION("""COMPUTED_VALUE"""),"")</f>
        <v/>
      </c>
      <c r="I489" s="1" t="s">
        <v>35</v>
      </c>
    </row>
    <row r="490" ht="14.25" customHeight="1">
      <c r="F490" s="2" t="str">
        <f>IFERROR(__xludf.DUMMYFUNCTION("""COMPUTED_VALUE"""),"")</f>
        <v/>
      </c>
      <c r="I490" s="1" t="s">
        <v>35</v>
      </c>
    </row>
    <row r="491" ht="14.25" customHeight="1">
      <c r="F491" s="2" t="str">
        <f>IFERROR(__xludf.DUMMYFUNCTION("""COMPUTED_VALUE"""),"")</f>
        <v/>
      </c>
      <c r="I491" s="1" t="s">
        <v>35</v>
      </c>
    </row>
    <row r="492" ht="14.25" customHeight="1">
      <c r="F492" s="2" t="str">
        <f>IFERROR(__xludf.DUMMYFUNCTION("""COMPUTED_VALUE"""),"")</f>
        <v/>
      </c>
      <c r="I492" s="1" t="s">
        <v>35</v>
      </c>
    </row>
    <row r="493" ht="14.25" customHeight="1">
      <c r="F493" s="2" t="str">
        <f>IFERROR(__xludf.DUMMYFUNCTION("""COMPUTED_VALUE"""),"")</f>
        <v/>
      </c>
      <c r="I493" s="1" t="s">
        <v>35</v>
      </c>
    </row>
    <row r="494" ht="14.25" customHeight="1">
      <c r="F494" s="2" t="str">
        <f>IFERROR(__xludf.DUMMYFUNCTION("""COMPUTED_VALUE"""),"")</f>
        <v/>
      </c>
      <c r="I494" s="1" t="s">
        <v>35</v>
      </c>
    </row>
    <row r="495" ht="14.25" customHeight="1">
      <c r="F495" s="2" t="str">
        <f>IFERROR(__xludf.DUMMYFUNCTION("""COMPUTED_VALUE"""),"")</f>
        <v/>
      </c>
      <c r="I495" s="1" t="s">
        <v>35</v>
      </c>
    </row>
    <row r="496" ht="14.25" customHeight="1">
      <c r="F496" s="2" t="str">
        <f>IFERROR(__xludf.DUMMYFUNCTION("""COMPUTED_VALUE"""),"")</f>
        <v/>
      </c>
      <c r="I496" s="1" t="s">
        <v>35</v>
      </c>
    </row>
    <row r="497" ht="14.25" customHeight="1">
      <c r="F497" s="2" t="str">
        <f>IFERROR(__xludf.DUMMYFUNCTION("""COMPUTED_VALUE"""),"")</f>
        <v/>
      </c>
      <c r="I497" s="1" t="s">
        <v>35</v>
      </c>
    </row>
    <row r="498" ht="14.25" customHeight="1">
      <c r="F498" s="2" t="str">
        <f>IFERROR(__xludf.DUMMYFUNCTION("""COMPUTED_VALUE"""),"")</f>
        <v/>
      </c>
      <c r="I498" s="1" t="s">
        <v>35</v>
      </c>
    </row>
    <row r="499" ht="14.25" customHeight="1">
      <c r="F499" s="2" t="str">
        <f>IFERROR(__xludf.DUMMYFUNCTION("""COMPUTED_VALUE"""),"")</f>
        <v/>
      </c>
      <c r="I499" s="1" t="s">
        <v>35</v>
      </c>
    </row>
    <row r="500" ht="14.25" customHeight="1">
      <c r="F500" s="2" t="str">
        <f>IFERROR(__xludf.DUMMYFUNCTION("""COMPUTED_VALUE"""),"")</f>
        <v/>
      </c>
      <c r="I500" s="1" t="s">
        <v>35</v>
      </c>
    </row>
    <row r="501" ht="14.25" customHeight="1">
      <c r="F501" s="2" t="str">
        <f>IFERROR(__xludf.DUMMYFUNCTION("""COMPUTED_VALUE"""),"")</f>
        <v/>
      </c>
      <c r="I501" s="1" t="s">
        <v>35</v>
      </c>
    </row>
    <row r="502" ht="14.25" customHeight="1">
      <c r="F502" s="2" t="str">
        <f>IFERROR(__xludf.DUMMYFUNCTION("""COMPUTED_VALUE"""),"")</f>
        <v/>
      </c>
      <c r="I502" s="1" t="s">
        <v>35</v>
      </c>
    </row>
    <row r="503" ht="14.25" customHeight="1">
      <c r="F503" s="2" t="str">
        <f>IFERROR(__xludf.DUMMYFUNCTION("""COMPUTED_VALUE"""),"")</f>
        <v/>
      </c>
      <c r="I503" s="1" t="s">
        <v>35</v>
      </c>
    </row>
    <row r="504" ht="14.25" customHeight="1">
      <c r="F504" s="2" t="str">
        <f>IFERROR(__xludf.DUMMYFUNCTION("""COMPUTED_VALUE"""),"")</f>
        <v/>
      </c>
      <c r="I504" s="1" t="s">
        <v>35</v>
      </c>
    </row>
    <row r="505" ht="14.25" customHeight="1">
      <c r="F505" s="2" t="str">
        <f>IFERROR(__xludf.DUMMYFUNCTION("""COMPUTED_VALUE"""),"")</f>
        <v/>
      </c>
      <c r="I505" s="1" t="s">
        <v>35</v>
      </c>
    </row>
    <row r="506" ht="14.25" customHeight="1">
      <c r="F506" s="2" t="str">
        <f>IFERROR(__xludf.DUMMYFUNCTION("""COMPUTED_VALUE"""),"")</f>
        <v/>
      </c>
      <c r="I506" s="1" t="s">
        <v>35</v>
      </c>
    </row>
    <row r="507" ht="14.25" customHeight="1">
      <c r="F507" s="2" t="str">
        <f>IFERROR(__xludf.DUMMYFUNCTION("""COMPUTED_VALUE"""),"")</f>
        <v/>
      </c>
      <c r="I507" s="1" t="s">
        <v>35</v>
      </c>
    </row>
    <row r="508" ht="14.25" customHeight="1">
      <c r="F508" s="2" t="str">
        <f>IFERROR(__xludf.DUMMYFUNCTION("""COMPUTED_VALUE"""),"")</f>
        <v/>
      </c>
      <c r="I508" s="1" t="s">
        <v>35</v>
      </c>
    </row>
    <row r="509" ht="14.25" customHeight="1">
      <c r="F509" s="2" t="str">
        <f>IFERROR(__xludf.DUMMYFUNCTION("""COMPUTED_VALUE"""),"")</f>
        <v/>
      </c>
      <c r="I509" s="1" t="s">
        <v>35</v>
      </c>
    </row>
    <row r="510" ht="14.25" customHeight="1">
      <c r="F510" s="2" t="str">
        <f>IFERROR(__xludf.DUMMYFUNCTION("""COMPUTED_VALUE"""),"")</f>
        <v/>
      </c>
      <c r="I510" s="1" t="s">
        <v>35</v>
      </c>
    </row>
    <row r="511" ht="14.25" customHeight="1">
      <c r="F511" s="2" t="str">
        <f>IFERROR(__xludf.DUMMYFUNCTION("""COMPUTED_VALUE"""),"")</f>
        <v/>
      </c>
      <c r="I511" s="1" t="s">
        <v>35</v>
      </c>
    </row>
    <row r="512" ht="14.25" customHeight="1">
      <c r="F512" s="2" t="str">
        <f>IFERROR(__xludf.DUMMYFUNCTION("""COMPUTED_VALUE"""),"")</f>
        <v/>
      </c>
      <c r="I512" s="1" t="s">
        <v>35</v>
      </c>
    </row>
    <row r="513" ht="14.25" customHeight="1">
      <c r="F513" s="2" t="str">
        <f>IFERROR(__xludf.DUMMYFUNCTION("""COMPUTED_VALUE"""),"")</f>
        <v/>
      </c>
      <c r="I513" s="1" t="s">
        <v>35</v>
      </c>
    </row>
    <row r="514" ht="14.25" customHeight="1">
      <c r="F514" s="2" t="str">
        <f>IFERROR(__xludf.DUMMYFUNCTION("""COMPUTED_VALUE"""),"")</f>
        <v/>
      </c>
      <c r="I514" s="1" t="s">
        <v>35</v>
      </c>
    </row>
    <row r="515" ht="14.25" customHeight="1">
      <c r="F515" s="2" t="str">
        <f>IFERROR(__xludf.DUMMYFUNCTION("""COMPUTED_VALUE"""),"")</f>
        <v/>
      </c>
      <c r="I515" s="1" t="s">
        <v>35</v>
      </c>
    </row>
    <row r="516" ht="14.25" customHeight="1">
      <c r="F516" s="2" t="str">
        <f>IFERROR(__xludf.DUMMYFUNCTION("""COMPUTED_VALUE"""),"")</f>
        <v/>
      </c>
      <c r="I516" s="1" t="s">
        <v>35</v>
      </c>
    </row>
    <row r="517" ht="14.25" customHeight="1">
      <c r="F517" s="2" t="str">
        <f>IFERROR(__xludf.DUMMYFUNCTION("""COMPUTED_VALUE"""),"")</f>
        <v/>
      </c>
      <c r="I517" s="1" t="s">
        <v>35</v>
      </c>
    </row>
    <row r="518" ht="14.25" customHeight="1">
      <c r="F518" s="2" t="str">
        <f>IFERROR(__xludf.DUMMYFUNCTION("""COMPUTED_VALUE"""),"")</f>
        <v/>
      </c>
      <c r="I518" s="1" t="s">
        <v>35</v>
      </c>
    </row>
    <row r="519" ht="14.25" customHeight="1">
      <c r="F519" s="2" t="str">
        <f>IFERROR(__xludf.DUMMYFUNCTION("""COMPUTED_VALUE"""),"")</f>
        <v/>
      </c>
      <c r="I519" s="1" t="s">
        <v>35</v>
      </c>
    </row>
    <row r="520" ht="14.25" customHeight="1">
      <c r="F520" s="2" t="str">
        <f>IFERROR(__xludf.DUMMYFUNCTION("""COMPUTED_VALUE"""),"")</f>
        <v/>
      </c>
      <c r="I520" s="1" t="s">
        <v>35</v>
      </c>
    </row>
    <row r="521" ht="14.25" customHeight="1">
      <c r="F521" s="2" t="str">
        <f>IFERROR(__xludf.DUMMYFUNCTION("""COMPUTED_VALUE"""),"")</f>
        <v/>
      </c>
      <c r="I521" s="1" t="s">
        <v>35</v>
      </c>
    </row>
    <row r="522" ht="14.25" customHeight="1">
      <c r="F522" s="2" t="str">
        <f>IFERROR(__xludf.DUMMYFUNCTION("""COMPUTED_VALUE"""),"")</f>
        <v/>
      </c>
      <c r="I522" s="1" t="s">
        <v>35</v>
      </c>
    </row>
    <row r="523" ht="14.25" customHeight="1">
      <c r="F523" s="2" t="str">
        <f>IFERROR(__xludf.DUMMYFUNCTION("""COMPUTED_VALUE"""),"")</f>
        <v/>
      </c>
      <c r="I523" s="1" t="s">
        <v>35</v>
      </c>
    </row>
    <row r="524" ht="14.25" customHeight="1">
      <c r="F524" s="2" t="str">
        <f>IFERROR(__xludf.DUMMYFUNCTION("""COMPUTED_VALUE"""),"")</f>
        <v/>
      </c>
      <c r="I524" s="1" t="s">
        <v>35</v>
      </c>
    </row>
    <row r="525" ht="14.25" customHeight="1">
      <c r="F525" s="2" t="str">
        <f>IFERROR(__xludf.DUMMYFUNCTION("""COMPUTED_VALUE"""),"")</f>
        <v/>
      </c>
      <c r="I525" s="1" t="s">
        <v>35</v>
      </c>
    </row>
    <row r="526" ht="14.25" customHeight="1">
      <c r="F526" s="2" t="str">
        <f>IFERROR(__xludf.DUMMYFUNCTION("""COMPUTED_VALUE"""),"")</f>
        <v/>
      </c>
      <c r="I526" s="1" t="s">
        <v>35</v>
      </c>
    </row>
    <row r="527" ht="14.25" customHeight="1">
      <c r="F527" s="2" t="str">
        <f>IFERROR(__xludf.DUMMYFUNCTION("""COMPUTED_VALUE"""),"")</f>
        <v/>
      </c>
      <c r="I527" s="1" t="s">
        <v>35</v>
      </c>
    </row>
    <row r="528" ht="14.25" customHeight="1">
      <c r="F528" s="2" t="str">
        <f>IFERROR(__xludf.DUMMYFUNCTION("""COMPUTED_VALUE"""),"")</f>
        <v/>
      </c>
      <c r="I528" s="1" t="s">
        <v>35</v>
      </c>
    </row>
    <row r="529" ht="14.25" customHeight="1">
      <c r="F529" s="2" t="str">
        <f>IFERROR(__xludf.DUMMYFUNCTION("""COMPUTED_VALUE"""),"")</f>
        <v/>
      </c>
      <c r="I529" s="1" t="s">
        <v>35</v>
      </c>
    </row>
    <row r="530" ht="14.25" customHeight="1">
      <c r="F530" s="2" t="str">
        <f>IFERROR(__xludf.DUMMYFUNCTION("""COMPUTED_VALUE"""),"")</f>
        <v/>
      </c>
      <c r="I530" s="1" t="s">
        <v>35</v>
      </c>
    </row>
    <row r="531" ht="14.25" customHeight="1">
      <c r="F531" s="2" t="str">
        <f>IFERROR(__xludf.DUMMYFUNCTION("""COMPUTED_VALUE"""),"")</f>
        <v/>
      </c>
      <c r="I531" s="1" t="s">
        <v>35</v>
      </c>
    </row>
    <row r="532" ht="14.25" customHeight="1">
      <c r="F532" s="2" t="str">
        <f>IFERROR(__xludf.DUMMYFUNCTION("""COMPUTED_VALUE"""),"")</f>
        <v/>
      </c>
      <c r="I532" s="1" t="s">
        <v>35</v>
      </c>
    </row>
    <row r="533" ht="14.25" customHeight="1">
      <c r="F533" s="2" t="str">
        <f>IFERROR(__xludf.DUMMYFUNCTION("""COMPUTED_VALUE"""),"")</f>
        <v/>
      </c>
      <c r="I533" s="1" t="s">
        <v>35</v>
      </c>
    </row>
    <row r="534" ht="14.25" customHeight="1">
      <c r="F534" s="2" t="str">
        <f>IFERROR(__xludf.DUMMYFUNCTION("""COMPUTED_VALUE"""),"")</f>
        <v/>
      </c>
      <c r="I534" s="1" t="s">
        <v>35</v>
      </c>
    </row>
    <row r="535" ht="14.25" customHeight="1">
      <c r="F535" s="2" t="str">
        <f>IFERROR(__xludf.DUMMYFUNCTION("""COMPUTED_VALUE"""),"")</f>
        <v/>
      </c>
      <c r="I535" s="1" t="s">
        <v>35</v>
      </c>
    </row>
    <row r="536" ht="14.25" customHeight="1">
      <c r="F536" s="2" t="str">
        <f>IFERROR(__xludf.DUMMYFUNCTION("""COMPUTED_VALUE"""),"")</f>
        <v/>
      </c>
      <c r="I536" s="1" t="s">
        <v>35</v>
      </c>
    </row>
    <row r="537" ht="14.25" customHeight="1">
      <c r="F537" s="2" t="str">
        <f>IFERROR(__xludf.DUMMYFUNCTION("""COMPUTED_VALUE"""),"")</f>
        <v/>
      </c>
      <c r="I537" s="1" t="s">
        <v>35</v>
      </c>
    </row>
    <row r="538" ht="14.25" customHeight="1">
      <c r="F538" s="2" t="str">
        <f>IFERROR(__xludf.DUMMYFUNCTION("""COMPUTED_VALUE"""),"")</f>
        <v/>
      </c>
      <c r="I538" s="1" t="s">
        <v>35</v>
      </c>
    </row>
    <row r="539" ht="14.25" customHeight="1">
      <c r="F539" s="2" t="str">
        <f>IFERROR(__xludf.DUMMYFUNCTION("""COMPUTED_VALUE"""),"")</f>
        <v/>
      </c>
      <c r="I539" s="1" t="s">
        <v>35</v>
      </c>
    </row>
    <row r="540" ht="14.25" customHeight="1">
      <c r="F540" s="2" t="str">
        <f>IFERROR(__xludf.DUMMYFUNCTION("""COMPUTED_VALUE"""),"")</f>
        <v/>
      </c>
      <c r="I540" s="1" t="s">
        <v>35</v>
      </c>
    </row>
    <row r="541" ht="14.25" customHeight="1">
      <c r="F541" s="2" t="str">
        <f>IFERROR(__xludf.DUMMYFUNCTION("""COMPUTED_VALUE"""),"")</f>
        <v/>
      </c>
      <c r="I541" s="1" t="s">
        <v>35</v>
      </c>
    </row>
    <row r="542" ht="14.25" customHeight="1">
      <c r="F542" s="2" t="str">
        <f>IFERROR(__xludf.DUMMYFUNCTION("""COMPUTED_VALUE"""),"")</f>
        <v/>
      </c>
      <c r="I542" s="1" t="s">
        <v>35</v>
      </c>
    </row>
    <row r="543" ht="14.25" customHeight="1">
      <c r="F543" s="2" t="str">
        <f>IFERROR(__xludf.DUMMYFUNCTION("""COMPUTED_VALUE"""),"")</f>
        <v/>
      </c>
      <c r="I543" s="1" t="s">
        <v>35</v>
      </c>
    </row>
    <row r="544" ht="14.25" customHeight="1">
      <c r="F544" s="2" t="str">
        <f>IFERROR(__xludf.DUMMYFUNCTION("""COMPUTED_VALUE"""),"")</f>
        <v/>
      </c>
      <c r="I544" s="1" t="s">
        <v>35</v>
      </c>
    </row>
    <row r="545" ht="14.25" customHeight="1">
      <c r="F545" s="2" t="str">
        <f>IFERROR(__xludf.DUMMYFUNCTION("""COMPUTED_VALUE"""),"")</f>
        <v/>
      </c>
      <c r="I545" s="1" t="s">
        <v>35</v>
      </c>
    </row>
    <row r="546" ht="14.25" customHeight="1">
      <c r="F546" s="2" t="str">
        <f>IFERROR(__xludf.DUMMYFUNCTION("""COMPUTED_VALUE"""),"")</f>
        <v/>
      </c>
      <c r="I546" s="1" t="s">
        <v>35</v>
      </c>
    </row>
    <row r="547" ht="14.25" customHeight="1">
      <c r="F547" s="2" t="str">
        <f>IFERROR(__xludf.DUMMYFUNCTION("""COMPUTED_VALUE"""),"")</f>
        <v/>
      </c>
      <c r="I547" s="1" t="s">
        <v>35</v>
      </c>
    </row>
    <row r="548" ht="14.25" customHeight="1">
      <c r="F548" s="2" t="str">
        <f>IFERROR(__xludf.DUMMYFUNCTION("""COMPUTED_VALUE"""),"")</f>
        <v/>
      </c>
      <c r="I548" s="1" t="s">
        <v>35</v>
      </c>
    </row>
    <row r="549" ht="14.25" customHeight="1">
      <c r="F549" s="2" t="str">
        <f>IFERROR(__xludf.DUMMYFUNCTION("""COMPUTED_VALUE"""),"")</f>
        <v/>
      </c>
      <c r="I549" s="1" t="s">
        <v>35</v>
      </c>
    </row>
    <row r="550" ht="14.25" customHeight="1">
      <c r="F550" s="2" t="str">
        <f>IFERROR(__xludf.DUMMYFUNCTION("""COMPUTED_VALUE"""),"")</f>
        <v/>
      </c>
      <c r="I550" s="1" t="s">
        <v>35</v>
      </c>
    </row>
    <row r="551" ht="14.25" customHeight="1">
      <c r="F551" s="2" t="str">
        <f>IFERROR(__xludf.DUMMYFUNCTION("""COMPUTED_VALUE"""),"")</f>
        <v/>
      </c>
      <c r="I551" s="1" t="s">
        <v>35</v>
      </c>
    </row>
    <row r="552" ht="14.25" customHeight="1">
      <c r="F552" s="2" t="str">
        <f>IFERROR(__xludf.DUMMYFUNCTION("""COMPUTED_VALUE"""),"")</f>
        <v/>
      </c>
      <c r="I552" s="1" t="s">
        <v>35</v>
      </c>
    </row>
    <row r="553" ht="14.25" customHeight="1">
      <c r="F553" s="2" t="str">
        <f>IFERROR(__xludf.DUMMYFUNCTION("""COMPUTED_VALUE"""),"")</f>
        <v/>
      </c>
      <c r="I553" s="1" t="s">
        <v>35</v>
      </c>
    </row>
    <row r="554" ht="14.25" customHeight="1">
      <c r="F554" s="2" t="str">
        <f>IFERROR(__xludf.DUMMYFUNCTION("""COMPUTED_VALUE"""),"")</f>
        <v/>
      </c>
      <c r="I554" s="1" t="s">
        <v>35</v>
      </c>
    </row>
    <row r="555" ht="14.25" customHeight="1">
      <c r="F555" s="2" t="str">
        <f>IFERROR(__xludf.DUMMYFUNCTION("""COMPUTED_VALUE"""),"")</f>
        <v/>
      </c>
      <c r="I555" s="1" t="s">
        <v>35</v>
      </c>
    </row>
    <row r="556" ht="14.25" customHeight="1">
      <c r="F556" s="2" t="str">
        <f>IFERROR(__xludf.DUMMYFUNCTION("""COMPUTED_VALUE"""),"")</f>
        <v/>
      </c>
      <c r="I556" s="1" t="s">
        <v>35</v>
      </c>
    </row>
    <row r="557" ht="14.25" customHeight="1">
      <c r="F557" s="2" t="str">
        <f>IFERROR(__xludf.DUMMYFUNCTION("""COMPUTED_VALUE"""),"")</f>
        <v/>
      </c>
      <c r="I557" s="1" t="s">
        <v>35</v>
      </c>
    </row>
    <row r="558" ht="14.25" customHeight="1">
      <c r="F558" s="2" t="str">
        <f>IFERROR(__xludf.DUMMYFUNCTION("""COMPUTED_VALUE"""),"")</f>
        <v/>
      </c>
      <c r="I558" s="1" t="s">
        <v>35</v>
      </c>
    </row>
    <row r="559" ht="14.25" customHeight="1">
      <c r="F559" s="2" t="str">
        <f>IFERROR(__xludf.DUMMYFUNCTION("""COMPUTED_VALUE"""),"")</f>
        <v/>
      </c>
      <c r="I559" s="1" t="s">
        <v>35</v>
      </c>
    </row>
    <row r="560" ht="14.25" customHeight="1">
      <c r="F560" s="2" t="str">
        <f>IFERROR(__xludf.DUMMYFUNCTION("""COMPUTED_VALUE"""),"")</f>
        <v/>
      </c>
      <c r="I560" s="1" t="s">
        <v>35</v>
      </c>
    </row>
    <row r="561" ht="14.25" customHeight="1">
      <c r="F561" s="2" t="str">
        <f>IFERROR(__xludf.DUMMYFUNCTION("""COMPUTED_VALUE"""),"")</f>
        <v/>
      </c>
      <c r="I561" s="1" t="s">
        <v>35</v>
      </c>
    </row>
    <row r="562" ht="14.25" customHeight="1">
      <c r="F562" s="2" t="str">
        <f>IFERROR(__xludf.DUMMYFUNCTION("""COMPUTED_VALUE"""),"")</f>
        <v/>
      </c>
      <c r="I562" s="1" t="s">
        <v>35</v>
      </c>
    </row>
    <row r="563" ht="14.25" customHeight="1">
      <c r="F563" s="2" t="str">
        <f>IFERROR(__xludf.DUMMYFUNCTION("""COMPUTED_VALUE"""),"")</f>
        <v/>
      </c>
      <c r="I563" s="1" t="s">
        <v>35</v>
      </c>
    </row>
    <row r="564" ht="14.25" customHeight="1">
      <c r="F564" s="2" t="str">
        <f>IFERROR(__xludf.DUMMYFUNCTION("""COMPUTED_VALUE"""),"")</f>
        <v/>
      </c>
      <c r="I564" s="1" t="s">
        <v>35</v>
      </c>
    </row>
    <row r="565" ht="14.25" customHeight="1">
      <c r="F565" s="2" t="str">
        <f>IFERROR(__xludf.DUMMYFUNCTION("""COMPUTED_VALUE"""),"")</f>
        <v/>
      </c>
      <c r="I565" s="1" t="s">
        <v>35</v>
      </c>
    </row>
    <row r="566" ht="14.25" customHeight="1">
      <c r="F566" s="2" t="str">
        <f>IFERROR(__xludf.DUMMYFUNCTION("""COMPUTED_VALUE"""),"")</f>
        <v/>
      </c>
      <c r="I566" s="1" t="s">
        <v>35</v>
      </c>
    </row>
    <row r="567" ht="14.25" customHeight="1">
      <c r="F567" s="2" t="str">
        <f>IFERROR(__xludf.DUMMYFUNCTION("""COMPUTED_VALUE"""),"")</f>
        <v/>
      </c>
      <c r="I567" s="1" t="s">
        <v>35</v>
      </c>
    </row>
    <row r="568" ht="14.25" customHeight="1">
      <c r="F568" s="2" t="str">
        <f>IFERROR(__xludf.DUMMYFUNCTION("""COMPUTED_VALUE"""),"")</f>
        <v/>
      </c>
      <c r="I568" s="1" t="s">
        <v>35</v>
      </c>
    </row>
    <row r="569" ht="14.25" customHeight="1">
      <c r="F569" s="2" t="str">
        <f>IFERROR(__xludf.DUMMYFUNCTION("""COMPUTED_VALUE"""),"")</f>
        <v/>
      </c>
      <c r="I569" s="1" t="s">
        <v>35</v>
      </c>
    </row>
    <row r="570" ht="14.25" customHeight="1">
      <c r="F570" s="2" t="str">
        <f>IFERROR(__xludf.DUMMYFUNCTION("""COMPUTED_VALUE"""),"")</f>
        <v/>
      </c>
      <c r="I570" s="1" t="s">
        <v>35</v>
      </c>
    </row>
    <row r="571" ht="14.25" customHeight="1">
      <c r="F571" s="2" t="str">
        <f>IFERROR(__xludf.DUMMYFUNCTION("""COMPUTED_VALUE"""),"")</f>
        <v/>
      </c>
      <c r="I571" s="1" t="s">
        <v>35</v>
      </c>
    </row>
    <row r="572" ht="14.25" customHeight="1">
      <c r="F572" s="2" t="str">
        <f>IFERROR(__xludf.DUMMYFUNCTION("""COMPUTED_VALUE"""),"")</f>
        <v/>
      </c>
      <c r="I572" s="1" t="s">
        <v>35</v>
      </c>
    </row>
    <row r="573" ht="14.25" customHeight="1">
      <c r="F573" s="2" t="str">
        <f>IFERROR(__xludf.DUMMYFUNCTION("""COMPUTED_VALUE"""),"")</f>
        <v/>
      </c>
      <c r="I573" s="1" t="s">
        <v>35</v>
      </c>
    </row>
    <row r="574" ht="14.25" customHeight="1">
      <c r="F574" s="2" t="str">
        <f>IFERROR(__xludf.DUMMYFUNCTION("""COMPUTED_VALUE"""),"")</f>
        <v/>
      </c>
      <c r="I574" s="1" t="s">
        <v>35</v>
      </c>
    </row>
    <row r="575" ht="14.25" customHeight="1">
      <c r="F575" s="2" t="str">
        <f>IFERROR(__xludf.DUMMYFUNCTION("""COMPUTED_VALUE"""),"")</f>
        <v/>
      </c>
      <c r="I575" s="1" t="s">
        <v>35</v>
      </c>
    </row>
    <row r="576" ht="14.25" customHeight="1">
      <c r="F576" s="2" t="str">
        <f>IFERROR(__xludf.DUMMYFUNCTION("""COMPUTED_VALUE"""),"")</f>
        <v/>
      </c>
      <c r="I576" s="1" t="s">
        <v>35</v>
      </c>
    </row>
    <row r="577" ht="14.25" customHeight="1">
      <c r="F577" s="2" t="str">
        <f>IFERROR(__xludf.DUMMYFUNCTION("""COMPUTED_VALUE"""),"")</f>
        <v/>
      </c>
      <c r="I577" s="1" t="s">
        <v>35</v>
      </c>
    </row>
    <row r="578" ht="14.25" customHeight="1">
      <c r="F578" s="2" t="str">
        <f>IFERROR(__xludf.DUMMYFUNCTION("""COMPUTED_VALUE"""),"")</f>
        <v/>
      </c>
      <c r="I578" s="1" t="s">
        <v>35</v>
      </c>
    </row>
    <row r="579" ht="14.25" customHeight="1">
      <c r="F579" s="2" t="str">
        <f>IFERROR(__xludf.DUMMYFUNCTION("""COMPUTED_VALUE"""),"")</f>
        <v/>
      </c>
      <c r="I579" s="1" t="s">
        <v>35</v>
      </c>
    </row>
    <row r="580" ht="14.25" customHeight="1">
      <c r="F580" s="2" t="str">
        <f>IFERROR(__xludf.DUMMYFUNCTION("""COMPUTED_VALUE"""),"")</f>
        <v/>
      </c>
      <c r="I580" s="1" t="s">
        <v>35</v>
      </c>
    </row>
    <row r="581" ht="14.25" customHeight="1">
      <c r="F581" s="2" t="str">
        <f>IFERROR(__xludf.DUMMYFUNCTION("""COMPUTED_VALUE"""),"")</f>
        <v/>
      </c>
      <c r="I581" s="1" t="s">
        <v>35</v>
      </c>
    </row>
    <row r="582" ht="14.25" customHeight="1">
      <c r="F582" s="2" t="str">
        <f>IFERROR(__xludf.DUMMYFUNCTION("""COMPUTED_VALUE"""),"")</f>
        <v/>
      </c>
      <c r="I582" s="1" t="s">
        <v>35</v>
      </c>
    </row>
    <row r="583" ht="14.25" customHeight="1">
      <c r="F583" s="2" t="str">
        <f>IFERROR(__xludf.DUMMYFUNCTION("""COMPUTED_VALUE"""),"")</f>
        <v/>
      </c>
      <c r="I583" s="1" t="s">
        <v>35</v>
      </c>
    </row>
    <row r="584" ht="14.25" customHeight="1">
      <c r="F584" s="2" t="str">
        <f>IFERROR(__xludf.DUMMYFUNCTION("""COMPUTED_VALUE"""),"")</f>
        <v/>
      </c>
      <c r="I584" s="1" t="s">
        <v>35</v>
      </c>
    </row>
    <row r="585" ht="14.25" customHeight="1">
      <c r="F585" s="2" t="str">
        <f>IFERROR(__xludf.DUMMYFUNCTION("""COMPUTED_VALUE"""),"")</f>
        <v/>
      </c>
      <c r="I585" s="1" t="s">
        <v>35</v>
      </c>
    </row>
    <row r="586" ht="14.25" customHeight="1">
      <c r="F586" s="2" t="str">
        <f>IFERROR(__xludf.DUMMYFUNCTION("""COMPUTED_VALUE"""),"")</f>
        <v/>
      </c>
      <c r="I586" s="1" t="s">
        <v>35</v>
      </c>
    </row>
    <row r="587" ht="14.25" customHeight="1">
      <c r="F587" s="2" t="str">
        <f>IFERROR(__xludf.DUMMYFUNCTION("""COMPUTED_VALUE"""),"")</f>
        <v/>
      </c>
      <c r="I587" s="1" t="s">
        <v>35</v>
      </c>
    </row>
    <row r="588" ht="14.25" customHeight="1">
      <c r="F588" s="2" t="str">
        <f>IFERROR(__xludf.DUMMYFUNCTION("""COMPUTED_VALUE"""),"")</f>
        <v/>
      </c>
      <c r="I588" s="1" t="s">
        <v>35</v>
      </c>
    </row>
    <row r="589" ht="14.25" customHeight="1">
      <c r="F589" s="2" t="str">
        <f>IFERROR(__xludf.DUMMYFUNCTION("""COMPUTED_VALUE"""),"")</f>
        <v/>
      </c>
      <c r="I589" s="1" t="s">
        <v>35</v>
      </c>
    </row>
    <row r="590" ht="14.25" customHeight="1">
      <c r="F590" s="2" t="str">
        <f>IFERROR(__xludf.DUMMYFUNCTION("""COMPUTED_VALUE"""),"")</f>
        <v/>
      </c>
      <c r="I590" s="1" t="s">
        <v>35</v>
      </c>
    </row>
    <row r="591" ht="14.25" customHeight="1">
      <c r="F591" s="2" t="str">
        <f>IFERROR(__xludf.DUMMYFUNCTION("""COMPUTED_VALUE"""),"")</f>
        <v/>
      </c>
      <c r="I591" s="1" t="s">
        <v>35</v>
      </c>
    </row>
    <row r="592" ht="14.25" customHeight="1">
      <c r="F592" s="2" t="str">
        <f>IFERROR(__xludf.DUMMYFUNCTION("""COMPUTED_VALUE"""),"")</f>
        <v/>
      </c>
      <c r="I592" s="1" t="s">
        <v>35</v>
      </c>
    </row>
    <row r="593" ht="14.25" customHeight="1">
      <c r="F593" s="2" t="str">
        <f>IFERROR(__xludf.DUMMYFUNCTION("""COMPUTED_VALUE"""),"")</f>
        <v/>
      </c>
      <c r="I593" s="1" t="s">
        <v>35</v>
      </c>
    </row>
    <row r="594" ht="14.25" customHeight="1">
      <c r="F594" s="2" t="str">
        <f>IFERROR(__xludf.DUMMYFUNCTION("""COMPUTED_VALUE"""),"")</f>
        <v/>
      </c>
      <c r="I594" s="1" t="s">
        <v>35</v>
      </c>
    </row>
    <row r="595" ht="14.25" customHeight="1">
      <c r="F595" s="2" t="str">
        <f>IFERROR(__xludf.DUMMYFUNCTION("""COMPUTED_VALUE"""),"")</f>
        <v/>
      </c>
      <c r="I595" s="1" t="s">
        <v>35</v>
      </c>
    </row>
    <row r="596" ht="14.25" customHeight="1">
      <c r="F596" s="2" t="str">
        <f>IFERROR(__xludf.DUMMYFUNCTION("""COMPUTED_VALUE"""),"")</f>
        <v/>
      </c>
      <c r="I596" s="1" t="s">
        <v>35</v>
      </c>
    </row>
    <row r="597" ht="14.25" customHeight="1">
      <c r="F597" s="2" t="str">
        <f>IFERROR(__xludf.DUMMYFUNCTION("""COMPUTED_VALUE"""),"")</f>
        <v/>
      </c>
      <c r="I597" s="1" t="s">
        <v>35</v>
      </c>
    </row>
    <row r="598" ht="14.25" customHeight="1">
      <c r="F598" s="2" t="str">
        <f>IFERROR(__xludf.DUMMYFUNCTION("""COMPUTED_VALUE"""),"")</f>
        <v/>
      </c>
      <c r="I598" s="1" t="s">
        <v>35</v>
      </c>
    </row>
    <row r="599" ht="14.25" customHeight="1">
      <c r="F599" s="2" t="str">
        <f>IFERROR(__xludf.DUMMYFUNCTION("""COMPUTED_VALUE"""),"")</f>
        <v/>
      </c>
      <c r="I599" s="1" t="s">
        <v>35</v>
      </c>
    </row>
    <row r="600" ht="14.25" customHeight="1">
      <c r="F600" s="2" t="str">
        <f>IFERROR(__xludf.DUMMYFUNCTION("""COMPUTED_VALUE"""),"")</f>
        <v/>
      </c>
      <c r="I600" s="1" t="s">
        <v>35</v>
      </c>
    </row>
    <row r="601" ht="14.25" customHeight="1">
      <c r="F601" s="2" t="str">
        <f>IFERROR(__xludf.DUMMYFUNCTION("""COMPUTED_VALUE"""),"")</f>
        <v/>
      </c>
      <c r="I601" s="1" t="s">
        <v>35</v>
      </c>
    </row>
    <row r="602" ht="14.25" customHeight="1">
      <c r="F602" s="2" t="str">
        <f>IFERROR(__xludf.DUMMYFUNCTION("""COMPUTED_VALUE"""),"")</f>
        <v/>
      </c>
      <c r="I602" s="1" t="s">
        <v>35</v>
      </c>
    </row>
    <row r="603" ht="14.25" customHeight="1">
      <c r="F603" s="2" t="str">
        <f>IFERROR(__xludf.DUMMYFUNCTION("""COMPUTED_VALUE"""),"")</f>
        <v/>
      </c>
      <c r="I603" s="1" t="s">
        <v>35</v>
      </c>
    </row>
    <row r="604" ht="14.25" customHeight="1">
      <c r="F604" s="2" t="str">
        <f>IFERROR(__xludf.DUMMYFUNCTION("""COMPUTED_VALUE"""),"")</f>
        <v/>
      </c>
      <c r="I604" s="1" t="s">
        <v>35</v>
      </c>
    </row>
    <row r="605" ht="14.25" customHeight="1">
      <c r="F605" s="2" t="str">
        <f>IFERROR(__xludf.DUMMYFUNCTION("""COMPUTED_VALUE"""),"")</f>
        <v/>
      </c>
      <c r="I605" s="1" t="s">
        <v>35</v>
      </c>
    </row>
    <row r="606" ht="14.25" customHeight="1">
      <c r="F606" s="2" t="str">
        <f>IFERROR(__xludf.DUMMYFUNCTION("""COMPUTED_VALUE"""),"")</f>
        <v/>
      </c>
      <c r="I606" s="1" t="s">
        <v>35</v>
      </c>
    </row>
    <row r="607" ht="14.25" customHeight="1">
      <c r="F607" s="2" t="str">
        <f>IFERROR(__xludf.DUMMYFUNCTION("""COMPUTED_VALUE"""),"")</f>
        <v/>
      </c>
      <c r="I607" s="1" t="s">
        <v>35</v>
      </c>
    </row>
    <row r="608" ht="14.25" customHeight="1">
      <c r="F608" s="2" t="str">
        <f>IFERROR(__xludf.DUMMYFUNCTION("""COMPUTED_VALUE"""),"")</f>
        <v/>
      </c>
      <c r="I608" s="1" t="s">
        <v>35</v>
      </c>
    </row>
    <row r="609" ht="14.25" customHeight="1">
      <c r="F609" s="2" t="str">
        <f>IFERROR(__xludf.DUMMYFUNCTION("""COMPUTED_VALUE"""),"")</f>
        <v/>
      </c>
      <c r="I609" s="1" t="s">
        <v>35</v>
      </c>
    </row>
    <row r="610" ht="14.25" customHeight="1">
      <c r="F610" s="2" t="str">
        <f>IFERROR(__xludf.DUMMYFUNCTION("""COMPUTED_VALUE"""),"")</f>
        <v/>
      </c>
      <c r="I610" s="1" t="s">
        <v>35</v>
      </c>
    </row>
    <row r="611" ht="14.25" customHeight="1">
      <c r="F611" s="2" t="str">
        <f>IFERROR(__xludf.DUMMYFUNCTION("""COMPUTED_VALUE"""),"")</f>
        <v/>
      </c>
      <c r="I611" s="1" t="s">
        <v>35</v>
      </c>
    </row>
    <row r="612" ht="14.25" customHeight="1">
      <c r="F612" s="2" t="str">
        <f>IFERROR(__xludf.DUMMYFUNCTION("""COMPUTED_VALUE"""),"")</f>
        <v/>
      </c>
      <c r="I612" s="1" t="s">
        <v>35</v>
      </c>
    </row>
    <row r="613" ht="14.25" customHeight="1">
      <c r="F613" s="2" t="str">
        <f>IFERROR(__xludf.DUMMYFUNCTION("""COMPUTED_VALUE"""),"")</f>
        <v/>
      </c>
      <c r="I613" s="1" t="s">
        <v>35</v>
      </c>
    </row>
    <row r="614" ht="14.25" customHeight="1">
      <c r="F614" s="2" t="str">
        <f>IFERROR(__xludf.DUMMYFUNCTION("""COMPUTED_VALUE"""),"")</f>
        <v/>
      </c>
      <c r="I614" s="1" t="s">
        <v>35</v>
      </c>
    </row>
    <row r="615" ht="14.25" customHeight="1">
      <c r="F615" s="2" t="str">
        <f>IFERROR(__xludf.DUMMYFUNCTION("""COMPUTED_VALUE"""),"")</f>
        <v/>
      </c>
      <c r="I615" s="1" t="s">
        <v>35</v>
      </c>
    </row>
    <row r="616" ht="14.25" customHeight="1">
      <c r="F616" s="2" t="str">
        <f>IFERROR(__xludf.DUMMYFUNCTION("""COMPUTED_VALUE"""),"")</f>
        <v/>
      </c>
      <c r="I616" s="1" t="s">
        <v>35</v>
      </c>
    </row>
    <row r="617" ht="14.25" customHeight="1">
      <c r="F617" s="2" t="str">
        <f>IFERROR(__xludf.DUMMYFUNCTION("""COMPUTED_VALUE"""),"")</f>
        <v/>
      </c>
      <c r="I617" s="1" t="s">
        <v>35</v>
      </c>
    </row>
    <row r="618" ht="14.25" customHeight="1">
      <c r="F618" s="2" t="str">
        <f>IFERROR(__xludf.DUMMYFUNCTION("""COMPUTED_VALUE"""),"")</f>
        <v/>
      </c>
      <c r="I618" s="1" t="s">
        <v>35</v>
      </c>
    </row>
    <row r="619" ht="14.25" customHeight="1">
      <c r="F619" s="2" t="str">
        <f>IFERROR(__xludf.DUMMYFUNCTION("""COMPUTED_VALUE"""),"")</f>
        <v/>
      </c>
      <c r="I619" s="1" t="s">
        <v>35</v>
      </c>
    </row>
    <row r="620" ht="14.25" customHeight="1">
      <c r="F620" s="2" t="str">
        <f>IFERROR(__xludf.DUMMYFUNCTION("""COMPUTED_VALUE"""),"")</f>
        <v/>
      </c>
      <c r="I620" s="1" t="s">
        <v>35</v>
      </c>
    </row>
    <row r="621" ht="14.25" customHeight="1">
      <c r="F621" s="2" t="str">
        <f>IFERROR(__xludf.DUMMYFUNCTION("""COMPUTED_VALUE"""),"")</f>
        <v/>
      </c>
      <c r="I621" s="1" t="s">
        <v>35</v>
      </c>
    </row>
    <row r="622" ht="14.25" customHeight="1">
      <c r="F622" s="2" t="str">
        <f>IFERROR(__xludf.DUMMYFUNCTION("""COMPUTED_VALUE"""),"")</f>
        <v/>
      </c>
      <c r="I622" s="1" t="s">
        <v>35</v>
      </c>
    </row>
    <row r="623" ht="14.25" customHeight="1">
      <c r="F623" s="2" t="str">
        <f>IFERROR(__xludf.DUMMYFUNCTION("""COMPUTED_VALUE"""),"")</f>
        <v/>
      </c>
      <c r="I623" s="1" t="s">
        <v>35</v>
      </c>
    </row>
    <row r="624" ht="14.25" customHeight="1">
      <c r="F624" s="2" t="str">
        <f>IFERROR(__xludf.DUMMYFUNCTION("""COMPUTED_VALUE"""),"")</f>
        <v/>
      </c>
      <c r="I624" s="1" t="s">
        <v>35</v>
      </c>
    </row>
    <row r="625" ht="14.25" customHeight="1">
      <c r="F625" s="2" t="str">
        <f>IFERROR(__xludf.DUMMYFUNCTION("""COMPUTED_VALUE"""),"")</f>
        <v/>
      </c>
      <c r="I625" s="1" t="s">
        <v>35</v>
      </c>
    </row>
    <row r="626" ht="14.25" customHeight="1">
      <c r="F626" s="2" t="str">
        <f>IFERROR(__xludf.DUMMYFUNCTION("""COMPUTED_VALUE"""),"")</f>
        <v/>
      </c>
      <c r="I626" s="1" t="s">
        <v>35</v>
      </c>
    </row>
    <row r="627" ht="14.25" customHeight="1">
      <c r="F627" s="2" t="str">
        <f>IFERROR(__xludf.DUMMYFUNCTION("""COMPUTED_VALUE"""),"")</f>
        <v/>
      </c>
      <c r="I627" s="1" t="s">
        <v>35</v>
      </c>
    </row>
    <row r="628" ht="14.25" customHeight="1">
      <c r="F628" s="2" t="str">
        <f>IFERROR(__xludf.DUMMYFUNCTION("""COMPUTED_VALUE"""),"")</f>
        <v/>
      </c>
      <c r="I628" s="1" t="s">
        <v>35</v>
      </c>
    </row>
    <row r="629" ht="14.25" customHeight="1">
      <c r="F629" s="2" t="str">
        <f>IFERROR(__xludf.DUMMYFUNCTION("""COMPUTED_VALUE"""),"")</f>
        <v/>
      </c>
      <c r="I629" s="1" t="s">
        <v>35</v>
      </c>
    </row>
    <row r="630" ht="14.25" customHeight="1">
      <c r="F630" s="2" t="str">
        <f>IFERROR(__xludf.DUMMYFUNCTION("""COMPUTED_VALUE"""),"")</f>
        <v/>
      </c>
      <c r="I630" s="1" t="s">
        <v>35</v>
      </c>
    </row>
    <row r="631" ht="14.25" customHeight="1">
      <c r="F631" s="2" t="str">
        <f>IFERROR(__xludf.DUMMYFUNCTION("""COMPUTED_VALUE"""),"")</f>
        <v/>
      </c>
      <c r="I631" s="1" t="s">
        <v>35</v>
      </c>
    </row>
    <row r="632" ht="14.25" customHeight="1">
      <c r="F632" s="2" t="str">
        <f>IFERROR(__xludf.DUMMYFUNCTION("""COMPUTED_VALUE"""),"")</f>
        <v/>
      </c>
      <c r="I632" s="1" t="s">
        <v>35</v>
      </c>
    </row>
    <row r="633" ht="14.25" customHeight="1">
      <c r="F633" s="2" t="str">
        <f>IFERROR(__xludf.DUMMYFUNCTION("""COMPUTED_VALUE"""),"")</f>
        <v/>
      </c>
      <c r="I633" s="1" t="s">
        <v>35</v>
      </c>
    </row>
    <row r="634" ht="14.25" customHeight="1">
      <c r="F634" s="2" t="str">
        <f>IFERROR(__xludf.DUMMYFUNCTION("""COMPUTED_VALUE"""),"")</f>
        <v/>
      </c>
      <c r="I634" s="1" t="s">
        <v>35</v>
      </c>
    </row>
    <row r="635" ht="14.25" customHeight="1">
      <c r="F635" s="2" t="str">
        <f>IFERROR(__xludf.DUMMYFUNCTION("""COMPUTED_VALUE"""),"")</f>
        <v/>
      </c>
      <c r="I635" s="1" t="s">
        <v>35</v>
      </c>
    </row>
    <row r="636" ht="14.25" customHeight="1">
      <c r="F636" s="2" t="str">
        <f>IFERROR(__xludf.DUMMYFUNCTION("""COMPUTED_VALUE"""),"")</f>
        <v/>
      </c>
      <c r="I636" s="1" t="s">
        <v>35</v>
      </c>
    </row>
    <row r="637" ht="14.25" customHeight="1">
      <c r="F637" s="2" t="str">
        <f>IFERROR(__xludf.DUMMYFUNCTION("""COMPUTED_VALUE"""),"")</f>
        <v/>
      </c>
      <c r="I637" s="1" t="s">
        <v>35</v>
      </c>
    </row>
    <row r="638" ht="14.25" customHeight="1">
      <c r="F638" s="2" t="str">
        <f>IFERROR(__xludf.DUMMYFUNCTION("""COMPUTED_VALUE"""),"")</f>
        <v/>
      </c>
      <c r="I638" s="1" t="s">
        <v>35</v>
      </c>
    </row>
    <row r="639" ht="14.25" customHeight="1">
      <c r="F639" s="2" t="str">
        <f>IFERROR(__xludf.DUMMYFUNCTION("""COMPUTED_VALUE"""),"")</f>
        <v/>
      </c>
      <c r="I639" s="1" t="s">
        <v>35</v>
      </c>
    </row>
    <row r="640" ht="14.25" customHeight="1">
      <c r="F640" s="2" t="str">
        <f>IFERROR(__xludf.DUMMYFUNCTION("""COMPUTED_VALUE"""),"")</f>
        <v/>
      </c>
      <c r="I640" s="1" t="s">
        <v>35</v>
      </c>
    </row>
    <row r="641" ht="14.25" customHeight="1">
      <c r="F641" s="2" t="str">
        <f>IFERROR(__xludf.DUMMYFUNCTION("""COMPUTED_VALUE"""),"")</f>
        <v/>
      </c>
      <c r="I641" s="1" t="s">
        <v>35</v>
      </c>
    </row>
    <row r="642" ht="14.25" customHeight="1">
      <c r="F642" s="2" t="str">
        <f>IFERROR(__xludf.DUMMYFUNCTION("""COMPUTED_VALUE"""),"")</f>
        <v/>
      </c>
      <c r="I642" s="1" t="s">
        <v>35</v>
      </c>
    </row>
    <row r="643" ht="14.25" customHeight="1">
      <c r="F643" s="2" t="str">
        <f>IFERROR(__xludf.DUMMYFUNCTION("""COMPUTED_VALUE"""),"")</f>
        <v/>
      </c>
      <c r="I643" s="1" t="s">
        <v>35</v>
      </c>
    </row>
    <row r="644" ht="14.25" customHeight="1">
      <c r="F644" s="2" t="str">
        <f>IFERROR(__xludf.DUMMYFUNCTION("""COMPUTED_VALUE"""),"")</f>
        <v/>
      </c>
      <c r="I644" s="1" t="s">
        <v>35</v>
      </c>
    </row>
    <row r="645" ht="14.25" customHeight="1">
      <c r="F645" s="2" t="str">
        <f>IFERROR(__xludf.DUMMYFUNCTION("""COMPUTED_VALUE"""),"")</f>
        <v/>
      </c>
      <c r="I645" s="1" t="s">
        <v>35</v>
      </c>
    </row>
    <row r="646" ht="14.25" customHeight="1">
      <c r="F646" s="2" t="str">
        <f>IFERROR(__xludf.DUMMYFUNCTION("""COMPUTED_VALUE"""),"")</f>
        <v/>
      </c>
      <c r="I646" s="1" t="s">
        <v>35</v>
      </c>
    </row>
    <row r="647" ht="14.25" customHeight="1">
      <c r="F647" s="2" t="str">
        <f>IFERROR(__xludf.DUMMYFUNCTION("""COMPUTED_VALUE"""),"")</f>
        <v/>
      </c>
      <c r="I647" s="1" t="s">
        <v>35</v>
      </c>
    </row>
    <row r="648" ht="14.25" customHeight="1">
      <c r="F648" s="2" t="str">
        <f>IFERROR(__xludf.DUMMYFUNCTION("""COMPUTED_VALUE"""),"")</f>
        <v/>
      </c>
      <c r="I648" s="1" t="s">
        <v>35</v>
      </c>
    </row>
    <row r="649" ht="14.25" customHeight="1">
      <c r="F649" s="2" t="str">
        <f>IFERROR(__xludf.DUMMYFUNCTION("""COMPUTED_VALUE"""),"")</f>
        <v/>
      </c>
      <c r="I649" s="1" t="s">
        <v>35</v>
      </c>
    </row>
    <row r="650" ht="14.25" customHeight="1">
      <c r="F650" s="2" t="str">
        <f>IFERROR(__xludf.DUMMYFUNCTION("""COMPUTED_VALUE"""),"")</f>
        <v/>
      </c>
      <c r="I650" s="1" t="s">
        <v>35</v>
      </c>
    </row>
    <row r="651" ht="14.25" customHeight="1">
      <c r="F651" s="2" t="str">
        <f>IFERROR(__xludf.DUMMYFUNCTION("""COMPUTED_VALUE"""),"")</f>
        <v/>
      </c>
      <c r="I651" s="1" t="s">
        <v>35</v>
      </c>
    </row>
    <row r="652" ht="14.25" customHeight="1">
      <c r="F652" s="2" t="str">
        <f>IFERROR(__xludf.DUMMYFUNCTION("""COMPUTED_VALUE"""),"")</f>
        <v/>
      </c>
      <c r="I652" s="1" t="s">
        <v>35</v>
      </c>
    </row>
    <row r="653" ht="14.25" customHeight="1">
      <c r="F653" s="2" t="str">
        <f>IFERROR(__xludf.DUMMYFUNCTION("""COMPUTED_VALUE"""),"")</f>
        <v/>
      </c>
      <c r="I653" s="1" t="s">
        <v>35</v>
      </c>
    </row>
    <row r="654" ht="14.25" customHeight="1">
      <c r="F654" s="2" t="str">
        <f>IFERROR(__xludf.DUMMYFUNCTION("""COMPUTED_VALUE"""),"")</f>
        <v/>
      </c>
      <c r="I654" s="1" t="s">
        <v>35</v>
      </c>
    </row>
    <row r="655" ht="14.25" customHeight="1">
      <c r="F655" s="2" t="str">
        <f>IFERROR(__xludf.DUMMYFUNCTION("""COMPUTED_VALUE"""),"")</f>
        <v/>
      </c>
      <c r="I655" s="1" t="s">
        <v>35</v>
      </c>
    </row>
    <row r="656" ht="14.25" customHeight="1">
      <c r="F656" s="2" t="str">
        <f>IFERROR(__xludf.DUMMYFUNCTION("""COMPUTED_VALUE"""),"")</f>
        <v/>
      </c>
      <c r="I656" s="1" t="s">
        <v>35</v>
      </c>
    </row>
    <row r="657" ht="14.25" customHeight="1">
      <c r="F657" s="2" t="str">
        <f>IFERROR(__xludf.DUMMYFUNCTION("""COMPUTED_VALUE"""),"")</f>
        <v/>
      </c>
      <c r="I657" s="1" t="s">
        <v>35</v>
      </c>
    </row>
    <row r="658" ht="14.25" customHeight="1">
      <c r="F658" s="2" t="str">
        <f>IFERROR(__xludf.DUMMYFUNCTION("""COMPUTED_VALUE"""),"")</f>
        <v/>
      </c>
      <c r="I658" s="1" t="s">
        <v>35</v>
      </c>
    </row>
    <row r="659" ht="14.25" customHeight="1">
      <c r="F659" s="2" t="str">
        <f>IFERROR(__xludf.DUMMYFUNCTION("""COMPUTED_VALUE"""),"")</f>
        <v/>
      </c>
      <c r="I659" s="1" t="s">
        <v>35</v>
      </c>
    </row>
    <row r="660" ht="14.25" customHeight="1">
      <c r="F660" s="2" t="str">
        <f>IFERROR(__xludf.DUMMYFUNCTION("""COMPUTED_VALUE"""),"")</f>
        <v/>
      </c>
      <c r="I660" s="1" t="s">
        <v>35</v>
      </c>
    </row>
    <row r="661" ht="14.25" customHeight="1">
      <c r="F661" s="2" t="str">
        <f>IFERROR(__xludf.DUMMYFUNCTION("""COMPUTED_VALUE"""),"")</f>
        <v/>
      </c>
      <c r="I661" s="1" t="s">
        <v>35</v>
      </c>
    </row>
    <row r="662" ht="14.25" customHeight="1">
      <c r="F662" s="2" t="str">
        <f>IFERROR(__xludf.DUMMYFUNCTION("""COMPUTED_VALUE"""),"")</f>
        <v/>
      </c>
      <c r="I662" s="1" t="s">
        <v>35</v>
      </c>
    </row>
    <row r="663" ht="14.25" customHeight="1">
      <c r="F663" s="2" t="str">
        <f>IFERROR(__xludf.DUMMYFUNCTION("""COMPUTED_VALUE"""),"")</f>
        <v/>
      </c>
      <c r="I663" s="1" t="s">
        <v>35</v>
      </c>
    </row>
    <row r="664" ht="14.25" customHeight="1">
      <c r="F664" s="2" t="str">
        <f>IFERROR(__xludf.DUMMYFUNCTION("""COMPUTED_VALUE"""),"")</f>
        <v/>
      </c>
      <c r="I664" s="1" t="s">
        <v>35</v>
      </c>
    </row>
    <row r="665" ht="14.25" customHeight="1">
      <c r="F665" s="2" t="str">
        <f>IFERROR(__xludf.DUMMYFUNCTION("""COMPUTED_VALUE"""),"")</f>
        <v/>
      </c>
      <c r="I665" s="1" t="s">
        <v>35</v>
      </c>
    </row>
    <row r="666" ht="14.25" customHeight="1">
      <c r="F666" s="2" t="str">
        <f>IFERROR(__xludf.DUMMYFUNCTION("""COMPUTED_VALUE"""),"")</f>
        <v/>
      </c>
      <c r="I666" s="1" t="s">
        <v>35</v>
      </c>
    </row>
    <row r="667" ht="14.25" customHeight="1">
      <c r="F667" s="2" t="str">
        <f>IFERROR(__xludf.DUMMYFUNCTION("""COMPUTED_VALUE"""),"")</f>
        <v/>
      </c>
      <c r="I667" s="1" t="s">
        <v>35</v>
      </c>
    </row>
    <row r="668" ht="14.25" customHeight="1">
      <c r="F668" s="2" t="str">
        <f>IFERROR(__xludf.DUMMYFUNCTION("""COMPUTED_VALUE"""),"")</f>
        <v/>
      </c>
      <c r="I668" s="1" t="s">
        <v>35</v>
      </c>
    </row>
    <row r="669" ht="14.25" customHeight="1">
      <c r="F669" s="2" t="str">
        <f>IFERROR(__xludf.DUMMYFUNCTION("""COMPUTED_VALUE"""),"")</f>
        <v/>
      </c>
      <c r="I669" s="1" t="s">
        <v>35</v>
      </c>
    </row>
    <row r="670" ht="14.25" customHeight="1">
      <c r="F670" s="2" t="str">
        <f>IFERROR(__xludf.DUMMYFUNCTION("""COMPUTED_VALUE"""),"")</f>
        <v/>
      </c>
      <c r="I670" s="1" t="s">
        <v>35</v>
      </c>
    </row>
    <row r="671" ht="14.25" customHeight="1">
      <c r="F671" s="2" t="str">
        <f>IFERROR(__xludf.DUMMYFUNCTION("""COMPUTED_VALUE"""),"")</f>
        <v/>
      </c>
      <c r="I671" s="1" t="s">
        <v>35</v>
      </c>
    </row>
    <row r="672" ht="14.25" customHeight="1">
      <c r="F672" s="2" t="str">
        <f>IFERROR(__xludf.DUMMYFUNCTION("""COMPUTED_VALUE"""),"")</f>
        <v/>
      </c>
      <c r="I672" s="1" t="s">
        <v>35</v>
      </c>
    </row>
    <row r="673" ht="14.25" customHeight="1">
      <c r="F673" s="2" t="str">
        <f>IFERROR(__xludf.DUMMYFUNCTION("""COMPUTED_VALUE"""),"")</f>
        <v/>
      </c>
      <c r="I673" s="1" t="s">
        <v>35</v>
      </c>
    </row>
    <row r="674" ht="14.25" customHeight="1">
      <c r="F674" s="2" t="str">
        <f>IFERROR(__xludf.DUMMYFUNCTION("""COMPUTED_VALUE"""),"")</f>
        <v/>
      </c>
      <c r="I674" s="1" t="s">
        <v>35</v>
      </c>
    </row>
    <row r="675" ht="14.25" customHeight="1">
      <c r="F675" s="2" t="str">
        <f>IFERROR(__xludf.DUMMYFUNCTION("""COMPUTED_VALUE"""),"")</f>
        <v/>
      </c>
      <c r="I675" s="1" t="s">
        <v>35</v>
      </c>
    </row>
    <row r="676" ht="14.25" customHeight="1">
      <c r="F676" s="2" t="str">
        <f>IFERROR(__xludf.DUMMYFUNCTION("""COMPUTED_VALUE"""),"")</f>
        <v/>
      </c>
      <c r="I676" s="1" t="s">
        <v>35</v>
      </c>
    </row>
    <row r="677" ht="14.25" customHeight="1">
      <c r="F677" s="2" t="str">
        <f>IFERROR(__xludf.DUMMYFUNCTION("""COMPUTED_VALUE"""),"")</f>
        <v/>
      </c>
      <c r="I677" s="1" t="s">
        <v>35</v>
      </c>
    </row>
    <row r="678" ht="14.25" customHeight="1">
      <c r="F678" s="2" t="str">
        <f>IFERROR(__xludf.DUMMYFUNCTION("""COMPUTED_VALUE"""),"")</f>
        <v/>
      </c>
      <c r="I678" s="1" t="s">
        <v>35</v>
      </c>
    </row>
    <row r="679" ht="14.25" customHeight="1">
      <c r="F679" s="2" t="str">
        <f>IFERROR(__xludf.DUMMYFUNCTION("""COMPUTED_VALUE"""),"")</f>
        <v/>
      </c>
      <c r="I679" s="1" t="s">
        <v>35</v>
      </c>
    </row>
    <row r="680" ht="14.25" customHeight="1">
      <c r="F680" s="2" t="str">
        <f>IFERROR(__xludf.DUMMYFUNCTION("""COMPUTED_VALUE"""),"")</f>
        <v/>
      </c>
      <c r="I680" s="1" t="s">
        <v>35</v>
      </c>
    </row>
    <row r="681" ht="14.25" customHeight="1">
      <c r="F681" s="2" t="str">
        <f>IFERROR(__xludf.DUMMYFUNCTION("""COMPUTED_VALUE"""),"")</f>
        <v/>
      </c>
      <c r="I681" s="1" t="s">
        <v>35</v>
      </c>
    </row>
    <row r="682" ht="14.25" customHeight="1">
      <c r="F682" s="2" t="str">
        <f>IFERROR(__xludf.DUMMYFUNCTION("""COMPUTED_VALUE"""),"")</f>
        <v/>
      </c>
      <c r="I682" s="1" t="s">
        <v>35</v>
      </c>
    </row>
    <row r="683" ht="14.25" customHeight="1">
      <c r="F683" s="2" t="str">
        <f>IFERROR(__xludf.DUMMYFUNCTION("""COMPUTED_VALUE"""),"")</f>
        <v/>
      </c>
      <c r="I683" s="1" t="s">
        <v>35</v>
      </c>
    </row>
    <row r="684" ht="14.25" customHeight="1">
      <c r="F684" s="2" t="str">
        <f>IFERROR(__xludf.DUMMYFUNCTION("""COMPUTED_VALUE"""),"")</f>
        <v/>
      </c>
      <c r="I684" s="1" t="s">
        <v>35</v>
      </c>
    </row>
    <row r="685" ht="14.25" customHeight="1">
      <c r="F685" s="2" t="str">
        <f>IFERROR(__xludf.DUMMYFUNCTION("""COMPUTED_VALUE"""),"")</f>
        <v/>
      </c>
      <c r="I685" s="1" t="s">
        <v>35</v>
      </c>
    </row>
    <row r="686" ht="14.25" customHeight="1">
      <c r="F686" s="2" t="str">
        <f>IFERROR(__xludf.DUMMYFUNCTION("""COMPUTED_VALUE"""),"")</f>
        <v/>
      </c>
      <c r="I686" s="1" t="s">
        <v>35</v>
      </c>
    </row>
    <row r="687" ht="14.25" customHeight="1">
      <c r="F687" s="2" t="str">
        <f>IFERROR(__xludf.DUMMYFUNCTION("""COMPUTED_VALUE"""),"")</f>
        <v/>
      </c>
      <c r="I687" s="1" t="s">
        <v>35</v>
      </c>
    </row>
    <row r="688" ht="14.25" customHeight="1">
      <c r="F688" s="2" t="str">
        <f>IFERROR(__xludf.DUMMYFUNCTION("""COMPUTED_VALUE"""),"")</f>
        <v/>
      </c>
      <c r="I688" s="1" t="s">
        <v>35</v>
      </c>
    </row>
    <row r="689" ht="14.25" customHeight="1">
      <c r="F689" s="2" t="str">
        <f>IFERROR(__xludf.DUMMYFUNCTION("""COMPUTED_VALUE"""),"")</f>
        <v/>
      </c>
      <c r="I689" s="1" t="s">
        <v>35</v>
      </c>
    </row>
    <row r="690" ht="14.25" customHeight="1">
      <c r="F690" s="2" t="str">
        <f>IFERROR(__xludf.DUMMYFUNCTION("""COMPUTED_VALUE"""),"")</f>
        <v/>
      </c>
      <c r="I690" s="1" t="s">
        <v>35</v>
      </c>
    </row>
    <row r="691" ht="14.25" customHeight="1">
      <c r="F691" s="2" t="str">
        <f>IFERROR(__xludf.DUMMYFUNCTION("""COMPUTED_VALUE"""),"")</f>
        <v/>
      </c>
      <c r="I691" s="1" t="s">
        <v>35</v>
      </c>
    </row>
    <row r="692" ht="14.25" customHeight="1">
      <c r="F692" s="2" t="str">
        <f>IFERROR(__xludf.DUMMYFUNCTION("""COMPUTED_VALUE"""),"")</f>
        <v/>
      </c>
      <c r="I692" s="1" t="s">
        <v>35</v>
      </c>
    </row>
    <row r="693" ht="14.25" customHeight="1">
      <c r="F693" s="2" t="str">
        <f>IFERROR(__xludf.DUMMYFUNCTION("""COMPUTED_VALUE"""),"")</f>
        <v/>
      </c>
      <c r="I693" s="1" t="s">
        <v>35</v>
      </c>
    </row>
    <row r="694" ht="14.25" customHeight="1">
      <c r="F694" s="2" t="str">
        <f>IFERROR(__xludf.DUMMYFUNCTION("""COMPUTED_VALUE"""),"")</f>
        <v/>
      </c>
      <c r="I694" s="1" t="s">
        <v>35</v>
      </c>
    </row>
    <row r="695" ht="14.25" customHeight="1">
      <c r="F695" s="2" t="str">
        <f>IFERROR(__xludf.DUMMYFUNCTION("""COMPUTED_VALUE"""),"")</f>
        <v/>
      </c>
      <c r="I695" s="1" t="s">
        <v>35</v>
      </c>
    </row>
    <row r="696" ht="14.25" customHeight="1">
      <c r="F696" s="2" t="str">
        <f>IFERROR(__xludf.DUMMYFUNCTION("""COMPUTED_VALUE"""),"")</f>
        <v/>
      </c>
      <c r="I696" s="1" t="s">
        <v>35</v>
      </c>
    </row>
    <row r="697" ht="14.25" customHeight="1">
      <c r="F697" s="2" t="str">
        <f>IFERROR(__xludf.DUMMYFUNCTION("""COMPUTED_VALUE"""),"")</f>
        <v/>
      </c>
      <c r="I697" s="1" t="s">
        <v>35</v>
      </c>
    </row>
    <row r="698" ht="14.25" customHeight="1">
      <c r="F698" s="2" t="str">
        <f>IFERROR(__xludf.DUMMYFUNCTION("""COMPUTED_VALUE"""),"")</f>
        <v/>
      </c>
      <c r="I698" s="1" t="s">
        <v>35</v>
      </c>
    </row>
    <row r="699" ht="14.25" customHeight="1">
      <c r="F699" s="2" t="str">
        <f>IFERROR(__xludf.DUMMYFUNCTION("""COMPUTED_VALUE"""),"")</f>
        <v/>
      </c>
      <c r="I699" s="1" t="s">
        <v>35</v>
      </c>
    </row>
    <row r="700" ht="14.25" customHeight="1">
      <c r="F700" s="2" t="str">
        <f>IFERROR(__xludf.DUMMYFUNCTION("""COMPUTED_VALUE"""),"")</f>
        <v/>
      </c>
      <c r="I700" s="1" t="s">
        <v>35</v>
      </c>
    </row>
    <row r="701" ht="14.25" customHeight="1">
      <c r="F701" s="2" t="str">
        <f>IFERROR(__xludf.DUMMYFUNCTION("""COMPUTED_VALUE"""),"")</f>
        <v/>
      </c>
      <c r="I701" s="1" t="s">
        <v>35</v>
      </c>
    </row>
    <row r="702" ht="14.25" customHeight="1">
      <c r="F702" s="2" t="str">
        <f>IFERROR(__xludf.DUMMYFUNCTION("""COMPUTED_VALUE"""),"")</f>
        <v/>
      </c>
      <c r="I702" s="1" t="s">
        <v>35</v>
      </c>
    </row>
    <row r="703" ht="14.25" customHeight="1">
      <c r="F703" s="2" t="str">
        <f>IFERROR(__xludf.DUMMYFUNCTION("""COMPUTED_VALUE"""),"")</f>
        <v/>
      </c>
      <c r="I703" s="1" t="s">
        <v>35</v>
      </c>
    </row>
    <row r="704" ht="14.25" customHeight="1">
      <c r="F704" s="2" t="str">
        <f>IFERROR(__xludf.DUMMYFUNCTION("""COMPUTED_VALUE"""),"")</f>
        <v/>
      </c>
      <c r="I704" s="1" t="s">
        <v>35</v>
      </c>
    </row>
    <row r="705" ht="14.25" customHeight="1">
      <c r="F705" s="2" t="str">
        <f>IFERROR(__xludf.DUMMYFUNCTION("""COMPUTED_VALUE"""),"")</f>
        <v/>
      </c>
      <c r="I705" s="1" t="s">
        <v>35</v>
      </c>
    </row>
    <row r="706" ht="14.25" customHeight="1">
      <c r="F706" s="2" t="str">
        <f>IFERROR(__xludf.DUMMYFUNCTION("""COMPUTED_VALUE"""),"")</f>
        <v/>
      </c>
      <c r="I706" s="1" t="s">
        <v>35</v>
      </c>
    </row>
    <row r="707" ht="14.25" customHeight="1">
      <c r="F707" s="2" t="str">
        <f>IFERROR(__xludf.DUMMYFUNCTION("""COMPUTED_VALUE"""),"")</f>
        <v/>
      </c>
      <c r="I707" s="1" t="s">
        <v>35</v>
      </c>
    </row>
    <row r="708" ht="14.25" customHeight="1">
      <c r="F708" s="2" t="str">
        <f>IFERROR(__xludf.DUMMYFUNCTION("""COMPUTED_VALUE"""),"")</f>
        <v/>
      </c>
      <c r="I708" s="1" t="s">
        <v>35</v>
      </c>
    </row>
    <row r="709" ht="14.25" customHeight="1">
      <c r="F709" s="2" t="str">
        <f>IFERROR(__xludf.DUMMYFUNCTION("""COMPUTED_VALUE"""),"")</f>
        <v/>
      </c>
      <c r="I709" s="1" t="s">
        <v>35</v>
      </c>
    </row>
    <row r="710" ht="14.25" customHeight="1">
      <c r="F710" s="2" t="str">
        <f>IFERROR(__xludf.DUMMYFUNCTION("""COMPUTED_VALUE"""),"")</f>
        <v/>
      </c>
      <c r="I710" s="1" t="s">
        <v>35</v>
      </c>
    </row>
    <row r="711" ht="14.25" customHeight="1">
      <c r="F711" s="2" t="str">
        <f>IFERROR(__xludf.DUMMYFUNCTION("""COMPUTED_VALUE"""),"")</f>
        <v/>
      </c>
      <c r="I711" s="1" t="s">
        <v>35</v>
      </c>
    </row>
    <row r="712" ht="14.25" customHeight="1">
      <c r="F712" s="2" t="str">
        <f>IFERROR(__xludf.DUMMYFUNCTION("""COMPUTED_VALUE"""),"")</f>
        <v/>
      </c>
      <c r="I712" s="1" t="s">
        <v>35</v>
      </c>
    </row>
    <row r="713" ht="14.25" customHeight="1">
      <c r="F713" s="2" t="str">
        <f>IFERROR(__xludf.DUMMYFUNCTION("""COMPUTED_VALUE"""),"")</f>
        <v/>
      </c>
      <c r="I713" s="1" t="s">
        <v>35</v>
      </c>
    </row>
    <row r="714" ht="14.25" customHeight="1">
      <c r="F714" s="2" t="str">
        <f>IFERROR(__xludf.DUMMYFUNCTION("""COMPUTED_VALUE"""),"")</f>
        <v/>
      </c>
      <c r="I714" s="1" t="s">
        <v>35</v>
      </c>
    </row>
    <row r="715" ht="14.25" customHeight="1">
      <c r="F715" s="2" t="str">
        <f>IFERROR(__xludf.DUMMYFUNCTION("""COMPUTED_VALUE"""),"")</f>
        <v/>
      </c>
      <c r="I715" s="1" t="s">
        <v>35</v>
      </c>
    </row>
    <row r="716" ht="14.25" customHeight="1">
      <c r="F716" s="2" t="str">
        <f>IFERROR(__xludf.DUMMYFUNCTION("""COMPUTED_VALUE"""),"")</f>
        <v/>
      </c>
      <c r="I716" s="1" t="s">
        <v>35</v>
      </c>
    </row>
    <row r="717" ht="14.25" customHeight="1">
      <c r="F717" s="2" t="str">
        <f>IFERROR(__xludf.DUMMYFUNCTION("""COMPUTED_VALUE"""),"")</f>
        <v/>
      </c>
      <c r="I717" s="1" t="s">
        <v>35</v>
      </c>
    </row>
    <row r="718" ht="14.25" customHeight="1">
      <c r="F718" s="2" t="str">
        <f>IFERROR(__xludf.DUMMYFUNCTION("""COMPUTED_VALUE"""),"")</f>
        <v/>
      </c>
      <c r="I718" s="1" t="s">
        <v>35</v>
      </c>
    </row>
    <row r="719" ht="14.25" customHeight="1">
      <c r="F719" s="2" t="str">
        <f>IFERROR(__xludf.DUMMYFUNCTION("""COMPUTED_VALUE"""),"")</f>
        <v/>
      </c>
      <c r="I719" s="1" t="s">
        <v>35</v>
      </c>
    </row>
    <row r="720" ht="14.25" customHeight="1">
      <c r="F720" s="2" t="str">
        <f>IFERROR(__xludf.DUMMYFUNCTION("""COMPUTED_VALUE"""),"")</f>
        <v/>
      </c>
      <c r="I720" s="1" t="s">
        <v>35</v>
      </c>
    </row>
    <row r="721" ht="14.25" customHeight="1">
      <c r="F721" s="2" t="str">
        <f>IFERROR(__xludf.DUMMYFUNCTION("""COMPUTED_VALUE"""),"")</f>
        <v/>
      </c>
      <c r="I721" s="1" t="s">
        <v>35</v>
      </c>
    </row>
    <row r="722" ht="14.25" customHeight="1">
      <c r="F722" s="2" t="str">
        <f>IFERROR(__xludf.DUMMYFUNCTION("""COMPUTED_VALUE"""),"")</f>
        <v/>
      </c>
      <c r="I722" s="1" t="s">
        <v>35</v>
      </c>
    </row>
    <row r="723" ht="14.25" customHeight="1">
      <c r="F723" s="2" t="str">
        <f>IFERROR(__xludf.DUMMYFUNCTION("""COMPUTED_VALUE"""),"")</f>
        <v/>
      </c>
      <c r="I723" s="1" t="s">
        <v>35</v>
      </c>
    </row>
    <row r="724" ht="14.25" customHeight="1">
      <c r="F724" s="2" t="str">
        <f>IFERROR(__xludf.DUMMYFUNCTION("""COMPUTED_VALUE"""),"")</f>
        <v/>
      </c>
      <c r="I724" s="1" t="s">
        <v>35</v>
      </c>
    </row>
    <row r="725" ht="14.25" customHeight="1">
      <c r="F725" s="2" t="str">
        <f>IFERROR(__xludf.DUMMYFUNCTION("""COMPUTED_VALUE"""),"")</f>
        <v/>
      </c>
      <c r="I725" s="1" t="s">
        <v>35</v>
      </c>
    </row>
    <row r="726" ht="14.25" customHeight="1">
      <c r="F726" s="2" t="str">
        <f>IFERROR(__xludf.DUMMYFUNCTION("""COMPUTED_VALUE"""),"")</f>
        <v/>
      </c>
      <c r="I726" s="1" t="s">
        <v>35</v>
      </c>
    </row>
    <row r="727" ht="14.25" customHeight="1">
      <c r="F727" s="2" t="str">
        <f>IFERROR(__xludf.DUMMYFUNCTION("""COMPUTED_VALUE"""),"")</f>
        <v/>
      </c>
      <c r="I727" s="1" t="s">
        <v>35</v>
      </c>
    </row>
    <row r="728" ht="14.25" customHeight="1">
      <c r="F728" s="2" t="str">
        <f>IFERROR(__xludf.DUMMYFUNCTION("""COMPUTED_VALUE"""),"")</f>
        <v/>
      </c>
      <c r="I728" s="1" t="s">
        <v>35</v>
      </c>
    </row>
    <row r="729" ht="14.25" customHeight="1">
      <c r="F729" s="2" t="str">
        <f>IFERROR(__xludf.DUMMYFUNCTION("""COMPUTED_VALUE"""),"")</f>
        <v/>
      </c>
      <c r="I729" s="1" t="s">
        <v>35</v>
      </c>
    </row>
    <row r="730" ht="14.25" customHeight="1">
      <c r="F730" s="2" t="str">
        <f>IFERROR(__xludf.DUMMYFUNCTION("""COMPUTED_VALUE"""),"")</f>
        <v/>
      </c>
      <c r="I730" s="1" t="s">
        <v>35</v>
      </c>
    </row>
    <row r="731" ht="14.25" customHeight="1">
      <c r="F731" s="2" t="str">
        <f>IFERROR(__xludf.DUMMYFUNCTION("""COMPUTED_VALUE"""),"")</f>
        <v/>
      </c>
      <c r="I731" s="1" t="s">
        <v>35</v>
      </c>
    </row>
    <row r="732" ht="14.25" customHeight="1">
      <c r="F732" s="2" t="str">
        <f>IFERROR(__xludf.DUMMYFUNCTION("""COMPUTED_VALUE"""),"")</f>
        <v/>
      </c>
      <c r="I732" s="1" t="s">
        <v>35</v>
      </c>
    </row>
    <row r="733" ht="14.25" customHeight="1">
      <c r="F733" s="2" t="str">
        <f>IFERROR(__xludf.DUMMYFUNCTION("""COMPUTED_VALUE"""),"")</f>
        <v/>
      </c>
      <c r="I733" s="1" t="s">
        <v>35</v>
      </c>
    </row>
    <row r="734" ht="14.25" customHeight="1">
      <c r="F734" s="2" t="str">
        <f>IFERROR(__xludf.DUMMYFUNCTION("""COMPUTED_VALUE"""),"")</f>
        <v/>
      </c>
      <c r="I734" s="1" t="s">
        <v>35</v>
      </c>
    </row>
    <row r="735" ht="14.25" customHeight="1">
      <c r="F735" s="2" t="str">
        <f>IFERROR(__xludf.DUMMYFUNCTION("""COMPUTED_VALUE"""),"")</f>
        <v/>
      </c>
      <c r="I735" s="1" t="s">
        <v>35</v>
      </c>
    </row>
    <row r="736" ht="14.25" customHeight="1">
      <c r="F736" s="2" t="str">
        <f>IFERROR(__xludf.DUMMYFUNCTION("""COMPUTED_VALUE"""),"")</f>
        <v/>
      </c>
      <c r="I736" s="1" t="s">
        <v>35</v>
      </c>
    </row>
    <row r="737" ht="14.25" customHeight="1">
      <c r="F737" s="2" t="str">
        <f>IFERROR(__xludf.DUMMYFUNCTION("""COMPUTED_VALUE"""),"")</f>
        <v/>
      </c>
      <c r="I737" s="1" t="s">
        <v>35</v>
      </c>
    </row>
    <row r="738" ht="14.25" customHeight="1">
      <c r="F738" s="2" t="str">
        <f>IFERROR(__xludf.DUMMYFUNCTION("""COMPUTED_VALUE"""),"")</f>
        <v/>
      </c>
      <c r="I738" s="1" t="s">
        <v>35</v>
      </c>
    </row>
    <row r="739" ht="14.25" customHeight="1">
      <c r="F739" s="2" t="str">
        <f>IFERROR(__xludf.DUMMYFUNCTION("""COMPUTED_VALUE"""),"")</f>
        <v/>
      </c>
      <c r="I739" s="1" t="s">
        <v>35</v>
      </c>
    </row>
    <row r="740" ht="14.25" customHeight="1">
      <c r="F740" s="2" t="str">
        <f>IFERROR(__xludf.DUMMYFUNCTION("""COMPUTED_VALUE"""),"")</f>
        <v/>
      </c>
      <c r="I740" s="1" t="s">
        <v>35</v>
      </c>
    </row>
    <row r="741" ht="14.25" customHeight="1">
      <c r="F741" s="2" t="str">
        <f>IFERROR(__xludf.DUMMYFUNCTION("""COMPUTED_VALUE"""),"")</f>
        <v/>
      </c>
      <c r="I741" s="1" t="s">
        <v>35</v>
      </c>
    </row>
    <row r="742" ht="14.25" customHeight="1">
      <c r="F742" s="2" t="str">
        <f>IFERROR(__xludf.DUMMYFUNCTION("""COMPUTED_VALUE"""),"")</f>
        <v/>
      </c>
      <c r="I742" s="1" t="s">
        <v>35</v>
      </c>
    </row>
    <row r="743" ht="14.25" customHeight="1">
      <c r="F743" s="2" t="str">
        <f>IFERROR(__xludf.DUMMYFUNCTION("""COMPUTED_VALUE"""),"")</f>
        <v/>
      </c>
      <c r="I743" s="1" t="s">
        <v>35</v>
      </c>
    </row>
    <row r="744" ht="14.25" customHeight="1">
      <c r="F744" s="2" t="str">
        <f>IFERROR(__xludf.DUMMYFUNCTION("""COMPUTED_VALUE"""),"")</f>
        <v/>
      </c>
      <c r="I744" s="1" t="s">
        <v>35</v>
      </c>
    </row>
    <row r="745" ht="14.25" customHeight="1">
      <c r="F745" s="2" t="str">
        <f>IFERROR(__xludf.DUMMYFUNCTION("""COMPUTED_VALUE"""),"")</f>
        <v/>
      </c>
      <c r="I745" s="1" t="s">
        <v>35</v>
      </c>
    </row>
    <row r="746" ht="14.25" customHeight="1">
      <c r="F746" s="2" t="str">
        <f>IFERROR(__xludf.DUMMYFUNCTION("""COMPUTED_VALUE"""),"")</f>
        <v/>
      </c>
      <c r="I746" s="1" t="s">
        <v>35</v>
      </c>
    </row>
    <row r="747" ht="14.25" customHeight="1">
      <c r="F747" s="2" t="str">
        <f>IFERROR(__xludf.DUMMYFUNCTION("""COMPUTED_VALUE"""),"")</f>
        <v/>
      </c>
      <c r="I747" s="1" t="s">
        <v>35</v>
      </c>
    </row>
    <row r="748" ht="14.25" customHeight="1">
      <c r="F748" s="2" t="str">
        <f>IFERROR(__xludf.DUMMYFUNCTION("""COMPUTED_VALUE"""),"")</f>
        <v/>
      </c>
      <c r="I748" s="1" t="s">
        <v>35</v>
      </c>
    </row>
    <row r="749" ht="14.25" customHeight="1">
      <c r="F749" s="2" t="str">
        <f>IFERROR(__xludf.DUMMYFUNCTION("""COMPUTED_VALUE"""),"")</f>
        <v/>
      </c>
      <c r="I749" s="1" t="s">
        <v>35</v>
      </c>
    </row>
    <row r="750" ht="14.25" customHeight="1">
      <c r="F750" s="2" t="str">
        <f>IFERROR(__xludf.DUMMYFUNCTION("""COMPUTED_VALUE"""),"")</f>
        <v/>
      </c>
      <c r="I750" s="1" t="s">
        <v>35</v>
      </c>
    </row>
    <row r="751" ht="14.25" customHeight="1">
      <c r="F751" s="2" t="str">
        <f>IFERROR(__xludf.DUMMYFUNCTION("""COMPUTED_VALUE"""),"")</f>
        <v/>
      </c>
      <c r="I751" s="1" t="s">
        <v>35</v>
      </c>
    </row>
    <row r="752" ht="14.25" customHeight="1">
      <c r="F752" s="2" t="str">
        <f>IFERROR(__xludf.DUMMYFUNCTION("""COMPUTED_VALUE"""),"")</f>
        <v/>
      </c>
      <c r="I752" s="1" t="s">
        <v>35</v>
      </c>
    </row>
    <row r="753" ht="14.25" customHeight="1">
      <c r="F753" s="2" t="str">
        <f>IFERROR(__xludf.DUMMYFUNCTION("""COMPUTED_VALUE"""),"")</f>
        <v/>
      </c>
      <c r="I753" s="1" t="s">
        <v>35</v>
      </c>
    </row>
    <row r="754" ht="14.25" customHeight="1">
      <c r="F754" s="2" t="str">
        <f>IFERROR(__xludf.DUMMYFUNCTION("""COMPUTED_VALUE"""),"")</f>
        <v/>
      </c>
      <c r="I754" s="1" t="s">
        <v>35</v>
      </c>
    </row>
    <row r="755" ht="14.25" customHeight="1">
      <c r="F755" s="2" t="str">
        <f>IFERROR(__xludf.DUMMYFUNCTION("""COMPUTED_VALUE"""),"")</f>
        <v/>
      </c>
      <c r="I755" s="1" t="s">
        <v>35</v>
      </c>
    </row>
    <row r="756" ht="14.25" customHeight="1">
      <c r="F756" s="2" t="str">
        <f>IFERROR(__xludf.DUMMYFUNCTION("""COMPUTED_VALUE"""),"")</f>
        <v/>
      </c>
      <c r="I756" s="1" t="s">
        <v>35</v>
      </c>
    </row>
    <row r="757" ht="14.25" customHeight="1">
      <c r="F757" s="2" t="str">
        <f>IFERROR(__xludf.DUMMYFUNCTION("""COMPUTED_VALUE"""),"")</f>
        <v/>
      </c>
      <c r="I757" s="1" t="s">
        <v>35</v>
      </c>
    </row>
    <row r="758" ht="14.25" customHeight="1">
      <c r="F758" s="2" t="str">
        <f>IFERROR(__xludf.DUMMYFUNCTION("""COMPUTED_VALUE"""),"")</f>
        <v/>
      </c>
      <c r="I758" s="1" t="s">
        <v>35</v>
      </c>
    </row>
    <row r="759" ht="14.25" customHeight="1">
      <c r="F759" s="2" t="str">
        <f>IFERROR(__xludf.DUMMYFUNCTION("""COMPUTED_VALUE"""),"")</f>
        <v/>
      </c>
      <c r="I759" s="1" t="s">
        <v>35</v>
      </c>
    </row>
    <row r="760" ht="14.25" customHeight="1">
      <c r="F760" s="2" t="str">
        <f>IFERROR(__xludf.DUMMYFUNCTION("""COMPUTED_VALUE"""),"")</f>
        <v/>
      </c>
      <c r="I760" s="1" t="s">
        <v>35</v>
      </c>
    </row>
    <row r="761" ht="14.25" customHeight="1">
      <c r="F761" s="2" t="str">
        <f>IFERROR(__xludf.DUMMYFUNCTION("""COMPUTED_VALUE"""),"")</f>
        <v/>
      </c>
      <c r="I761" s="1" t="s">
        <v>35</v>
      </c>
    </row>
    <row r="762" ht="14.25" customHeight="1">
      <c r="F762" s="2" t="str">
        <f>IFERROR(__xludf.DUMMYFUNCTION("""COMPUTED_VALUE"""),"")</f>
        <v/>
      </c>
      <c r="I762" s="1" t="s">
        <v>35</v>
      </c>
    </row>
    <row r="763" ht="14.25" customHeight="1">
      <c r="F763" s="2" t="str">
        <f>IFERROR(__xludf.DUMMYFUNCTION("""COMPUTED_VALUE"""),"")</f>
        <v/>
      </c>
      <c r="I763" s="1" t="s">
        <v>35</v>
      </c>
    </row>
    <row r="764" ht="14.25" customHeight="1">
      <c r="F764" s="2" t="str">
        <f>IFERROR(__xludf.DUMMYFUNCTION("""COMPUTED_VALUE"""),"")</f>
        <v/>
      </c>
      <c r="I764" s="1" t="s">
        <v>35</v>
      </c>
    </row>
    <row r="765" ht="14.25" customHeight="1">
      <c r="F765" s="2" t="str">
        <f>IFERROR(__xludf.DUMMYFUNCTION("""COMPUTED_VALUE"""),"")</f>
        <v/>
      </c>
      <c r="I765" s="1" t="s">
        <v>35</v>
      </c>
    </row>
    <row r="766" ht="14.25" customHeight="1">
      <c r="F766" s="2" t="str">
        <f>IFERROR(__xludf.DUMMYFUNCTION("""COMPUTED_VALUE"""),"")</f>
        <v/>
      </c>
      <c r="I766" s="1" t="s">
        <v>35</v>
      </c>
    </row>
    <row r="767" ht="14.25" customHeight="1">
      <c r="F767" s="2" t="str">
        <f>IFERROR(__xludf.DUMMYFUNCTION("""COMPUTED_VALUE"""),"")</f>
        <v/>
      </c>
      <c r="I767" s="1" t="s">
        <v>35</v>
      </c>
    </row>
    <row r="768" ht="14.25" customHeight="1">
      <c r="F768" s="2" t="str">
        <f>IFERROR(__xludf.DUMMYFUNCTION("""COMPUTED_VALUE"""),"")</f>
        <v/>
      </c>
      <c r="I768" s="1" t="s">
        <v>35</v>
      </c>
    </row>
    <row r="769" ht="14.25" customHeight="1">
      <c r="F769" s="2" t="str">
        <f>IFERROR(__xludf.DUMMYFUNCTION("""COMPUTED_VALUE"""),"")</f>
        <v/>
      </c>
      <c r="I769" s="1" t="s">
        <v>35</v>
      </c>
    </row>
    <row r="770" ht="14.25" customHeight="1">
      <c r="F770" s="2" t="str">
        <f>IFERROR(__xludf.DUMMYFUNCTION("""COMPUTED_VALUE"""),"")</f>
        <v/>
      </c>
      <c r="I770" s="1" t="s">
        <v>35</v>
      </c>
    </row>
    <row r="771" ht="14.25" customHeight="1">
      <c r="F771" s="2" t="str">
        <f>IFERROR(__xludf.DUMMYFUNCTION("""COMPUTED_VALUE"""),"")</f>
        <v/>
      </c>
      <c r="I771" s="1" t="s">
        <v>35</v>
      </c>
    </row>
    <row r="772" ht="14.25" customHeight="1">
      <c r="F772" s="2" t="str">
        <f>IFERROR(__xludf.DUMMYFUNCTION("""COMPUTED_VALUE"""),"")</f>
        <v/>
      </c>
      <c r="I772" s="1" t="s">
        <v>35</v>
      </c>
    </row>
    <row r="773" ht="14.25" customHeight="1">
      <c r="F773" s="2" t="str">
        <f>IFERROR(__xludf.DUMMYFUNCTION("""COMPUTED_VALUE"""),"")</f>
        <v/>
      </c>
      <c r="I773" s="1" t="s">
        <v>35</v>
      </c>
    </row>
    <row r="774" ht="14.25" customHeight="1">
      <c r="F774" s="2" t="str">
        <f>IFERROR(__xludf.DUMMYFUNCTION("""COMPUTED_VALUE"""),"")</f>
        <v/>
      </c>
      <c r="I774" s="1" t="s">
        <v>35</v>
      </c>
    </row>
    <row r="775" ht="14.25" customHeight="1">
      <c r="F775" s="2" t="str">
        <f>IFERROR(__xludf.DUMMYFUNCTION("""COMPUTED_VALUE"""),"")</f>
        <v/>
      </c>
      <c r="I775" s="1" t="s">
        <v>35</v>
      </c>
    </row>
    <row r="776" ht="14.25" customHeight="1">
      <c r="F776" s="2" t="str">
        <f>IFERROR(__xludf.DUMMYFUNCTION("""COMPUTED_VALUE"""),"")</f>
        <v/>
      </c>
      <c r="I776" s="1" t="s">
        <v>35</v>
      </c>
    </row>
    <row r="777" ht="14.25" customHeight="1">
      <c r="F777" s="2" t="str">
        <f>IFERROR(__xludf.DUMMYFUNCTION("""COMPUTED_VALUE"""),"")</f>
        <v/>
      </c>
      <c r="I777" s="1" t="s">
        <v>35</v>
      </c>
    </row>
    <row r="778" ht="14.25" customHeight="1">
      <c r="F778" s="2" t="str">
        <f>IFERROR(__xludf.DUMMYFUNCTION("""COMPUTED_VALUE"""),"")</f>
        <v/>
      </c>
      <c r="I778" s="1" t="s">
        <v>35</v>
      </c>
    </row>
    <row r="779" ht="14.25" customHeight="1">
      <c r="F779" s="2" t="str">
        <f>IFERROR(__xludf.DUMMYFUNCTION("""COMPUTED_VALUE"""),"")</f>
        <v/>
      </c>
      <c r="I779" s="1" t="s">
        <v>35</v>
      </c>
    </row>
    <row r="780" ht="14.25" customHeight="1">
      <c r="F780" s="2" t="str">
        <f>IFERROR(__xludf.DUMMYFUNCTION("""COMPUTED_VALUE"""),"")</f>
        <v/>
      </c>
      <c r="I780" s="1" t="s">
        <v>35</v>
      </c>
    </row>
    <row r="781" ht="14.25" customHeight="1">
      <c r="F781" s="2" t="str">
        <f>IFERROR(__xludf.DUMMYFUNCTION("""COMPUTED_VALUE"""),"")</f>
        <v/>
      </c>
      <c r="I781" s="1" t="s">
        <v>35</v>
      </c>
    </row>
    <row r="782" ht="14.25" customHeight="1">
      <c r="F782" s="2" t="str">
        <f>IFERROR(__xludf.DUMMYFUNCTION("""COMPUTED_VALUE"""),"")</f>
        <v/>
      </c>
      <c r="I782" s="1" t="s">
        <v>35</v>
      </c>
    </row>
    <row r="783" ht="14.25" customHeight="1">
      <c r="F783" s="2" t="str">
        <f>IFERROR(__xludf.DUMMYFUNCTION("""COMPUTED_VALUE"""),"")</f>
        <v/>
      </c>
      <c r="I783" s="1" t="s">
        <v>35</v>
      </c>
    </row>
    <row r="784" ht="14.25" customHeight="1">
      <c r="F784" s="2" t="str">
        <f>IFERROR(__xludf.DUMMYFUNCTION("""COMPUTED_VALUE"""),"")</f>
        <v/>
      </c>
      <c r="I784" s="1" t="s">
        <v>35</v>
      </c>
    </row>
    <row r="785" ht="14.25" customHeight="1">
      <c r="F785" s="2" t="str">
        <f>IFERROR(__xludf.DUMMYFUNCTION("""COMPUTED_VALUE"""),"")</f>
        <v/>
      </c>
      <c r="I785" s="1" t="s">
        <v>35</v>
      </c>
    </row>
    <row r="786" ht="14.25" customHeight="1">
      <c r="F786" s="2" t="str">
        <f>IFERROR(__xludf.DUMMYFUNCTION("""COMPUTED_VALUE"""),"")</f>
        <v/>
      </c>
      <c r="I786" s="1" t="s">
        <v>35</v>
      </c>
    </row>
    <row r="787" ht="14.25" customHeight="1">
      <c r="F787" s="2" t="str">
        <f>IFERROR(__xludf.DUMMYFUNCTION("""COMPUTED_VALUE"""),"")</f>
        <v/>
      </c>
      <c r="I787" s="1" t="s">
        <v>35</v>
      </c>
    </row>
    <row r="788" ht="14.25" customHeight="1">
      <c r="F788" s="2" t="str">
        <f>IFERROR(__xludf.DUMMYFUNCTION("""COMPUTED_VALUE"""),"")</f>
        <v/>
      </c>
      <c r="I788" s="1" t="s">
        <v>35</v>
      </c>
    </row>
    <row r="789" ht="14.25" customHeight="1">
      <c r="F789" s="2" t="str">
        <f>IFERROR(__xludf.DUMMYFUNCTION("""COMPUTED_VALUE"""),"")</f>
        <v/>
      </c>
      <c r="I789" s="1" t="s">
        <v>35</v>
      </c>
    </row>
    <row r="790" ht="14.25" customHeight="1">
      <c r="F790" s="2" t="str">
        <f>IFERROR(__xludf.DUMMYFUNCTION("""COMPUTED_VALUE"""),"")</f>
        <v/>
      </c>
      <c r="I790" s="1" t="s">
        <v>35</v>
      </c>
    </row>
    <row r="791" ht="14.25" customHeight="1">
      <c r="F791" s="2" t="str">
        <f>IFERROR(__xludf.DUMMYFUNCTION("""COMPUTED_VALUE"""),"")</f>
        <v/>
      </c>
      <c r="I791" s="1" t="s">
        <v>35</v>
      </c>
    </row>
    <row r="792" ht="14.25" customHeight="1">
      <c r="F792" s="2" t="str">
        <f>IFERROR(__xludf.DUMMYFUNCTION("""COMPUTED_VALUE"""),"")</f>
        <v/>
      </c>
      <c r="I792" s="1" t="s">
        <v>35</v>
      </c>
    </row>
    <row r="793" ht="14.25" customHeight="1">
      <c r="F793" s="2" t="str">
        <f>IFERROR(__xludf.DUMMYFUNCTION("""COMPUTED_VALUE"""),"")</f>
        <v/>
      </c>
      <c r="I793" s="1" t="s">
        <v>35</v>
      </c>
    </row>
    <row r="794" ht="14.25" customHeight="1">
      <c r="F794" s="2" t="str">
        <f>IFERROR(__xludf.DUMMYFUNCTION("""COMPUTED_VALUE"""),"")</f>
        <v/>
      </c>
      <c r="I794" s="1" t="s">
        <v>35</v>
      </c>
    </row>
    <row r="795" ht="14.25" customHeight="1">
      <c r="F795" s="2" t="str">
        <f>IFERROR(__xludf.DUMMYFUNCTION("""COMPUTED_VALUE"""),"")</f>
        <v/>
      </c>
      <c r="I795" s="1" t="s">
        <v>35</v>
      </c>
    </row>
    <row r="796" ht="14.25" customHeight="1">
      <c r="F796" s="2" t="str">
        <f>IFERROR(__xludf.DUMMYFUNCTION("""COMPUTED_VALUE"""),"")</f>
        <v/>
      </c>
      <c r="I796" s="1" t="s">
        <v>35</v>
      </c>
    </row>
    <row r="797" ht="14.25" customHeight="1">
      <c r="F797" s="2" t="str">
        <f>IFERROR(__xludf.DUMMYFUNCTION("""COMPUTED_VALUE"""),"")</f>
        <v/>
      </c>
      <c r="I797" s="1" t="s">
        <v>35</v>
      </c>
    </row>
    <row r="798" ht="14.25" customHeight="1">
      <c r="F798" s="2" t="str">
        <f>IFERROR(__xludf.DUMMYFUNCTION("""COMPUTED_VALUE"""),"")</f>
        <v/>
      </c>
      <c r="I798" s="1" t="s">
        <v>35</v>
      </c>
    </row>
    <row r="799" ht="14.25" customHeight="1">
      <c r="F799" s="2" t="str">
        <f>IFERROR(__xludf.DUMMYFUNCTION("""COMPUTED_VALUE"""),"")</f>
        <v/>
      </c>
      <c r="I799" s="1" t="s">
        <v>35</v>
      </c>
    </row>
    <row r="800" ht="14.25" customHeight="1">
      <c r="F800" s="2" t="str">
        <f>IFERROR(__xludf.DUMMYFUNCTION("""COMPUTED_VALUE"""),"")</f>
        <v/>
      </c>
      <c r="I800" s="1" t="s">
        <v>35</v>
      </c>
    </row>
    <row r="801" ht="14.25" customHeight="1">
      <c r="F801" s="2" t="str">
        <f>IFERROR(__xludf.DUMMYFUNCTION("""COMPUTED_VALUE"""),"")</f>
        <v/>
      </c>
      <c r="I801" s="1" t="s">
        <v>35</v>
      </c>
    </row>
    <row r="802" ht="14.25" customHeight="1">
      <c r="F802" s="2" t="str">
        <f>IFERROR(__xludf.DUMMYFUNCTION("""COMPUTED_VALUE"""),"")</f>
        <v/>
      </c>
      <c r="I802" s="1" t="s">
        <v>35</v>
      </c>
    </row>
    <row r="803" ht="14.25" customHeight="1">
      <c r="F803" s="2" t="str">
        <f>IFERROR(__xludf.DUMMYFUNCTION("""COMPUTED_VALUE"""),"")</f>
        <v/>
      </c>
      <c r="I803" s="1" t="s">
        <v>35</v>
      </c>
    </row>
    <row r="804" ht="14.25" customHeight="1">
      <c r="F804" s="2" t="str">
        <f>IFERROR(__xludf.DUMMYFUNCTION("""COMPUTED_VALUE"""),"")</f>
        <v/>
      </c>
      <c r="I804" s="1" t="s">
        <v>35</v>
      </c>
    </row>
    <row r="805" ht="14.25" customHeight="1">
      <c r="F805" s="2" t="str">
        <f>IFERROR(__xludf.DUMMYFUNCTION("""COMPUTED_VALUE"""),"")</f>
        <v/>
      </c>
      <c r="I805" s="1" t="s">
        <v>35</v>
      </c>
    </row>
  </sheetData>
  <dataValidations>
    <dataValidation type="list" allowBlank="1" sqref="C2:C301">
      <formula1>"Bug,Feature,DevOps,Engineering"</formula1>
    </dataValidation>
    <dataValidation type="list" allowBlank="1" sqref="D2:D301">
      <formula1>"Not Started,In Progress,Blocked,Done"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5" width="8.71"/>
    <col customWidth="1" min="6" max="6" width="13.14"/>
    <col customWidth="1" min="7" max="7" width="13.86"/>
    <col customWidth="1" min="8" max="8" width="6.0"/>
    <col customWidth="1" min="9" max="26" width="8.71"/>
  </cols>
  <sheetData>
    <row r="1" ht="14.25" customHeight="1">
      <c r="A1" s="1" t="s">
        <v>36</v>
      </c>
      <c r="B1" s="1" t="s">
        <v>0</v>
      </c>
      <c r="C1" s="1" t="s">
        <v>2</v>
      </c>
      <c r="D1" s="1" t="s">
        <v>37</v>
      </c>
      <c r="E1" s="1" t="s">
        <v>38</v>
      </c>
      <c r="F1" s="1" t="s">
        <v>39</v>
      </c>
      <c r="G1" s="1" t="s">
        <v>10</v>
      </c>
      <c r="H1" s="1" t="s">
        <v>40</v>
      </c>
      <c r="I1" s="1" t="s">
        <v>41</v>
      </c>
      <c r="J1" s="1" t="s">
        <v>42</v>
      </c>
    </row>
    <row r="2" ht="14.25" customHeight="1">
      <c r="A2" s="5">
        <v>46112.0</v>
      </c>
      <c r="B2" s="3" t="s">
        <v>11</v>
      </c>
      <c r="C2" s="3" t="s">
        <v>13</v>
      </c>
      <c r="D2" s="3" t="s">
        <v>43</v>
      </c>
      <c r="E2" s="6">
        <v>3.0</v>
      </c>
      <c r="F2" s="3" t="s">
        <v>32</v>
      </c>
      <c r="H2" s="1">
        <f t="array" ref="H2:H814">IF(A2:A814="", "", WEEKNUM(A2:A814, 2))</f>
        <v>14</v>
      </c>
      <c r="I2" s="1">
        <f t="array" ref="I2:I814">IF(A2:A814="", "", MONTH(A2:A814))</f>
        <v>3</v>
      </c>
      <c r="J2" s="1">
        <f t="array" ref="J2:J814">IF(A2:A814="", "", YEAR(A2:A814))</f>
        <v>2026</v>
      </c>
    </row>
    <row r="3" ht="14.25" customHeight="1">
      <c r="A3" s="5">
        <v>46117.0</v>
      </c>
      <c r="B3" s="3" t="s">
        <v>11</v>
      </c>
      <c r="C3" s="3" t="s">
        <v>13</v>
      </c>
      <c r="D3" s="3" t="s">
        <v>43</v>
      </c>
      <c r="E3" s="6">
        <v>3.0</v>
      </c>
      <c r="F3" s="3" t="s">
        <v>44</v>
      </c>
      <c r="H3" s="1">
        <v>14.0</v>
      </c>
      <c r="I3" s="1">
        <v>4.0</v>
      </c>
      <c r="J3" s="1">
        <v>2026.0</v>
      </c>
    </row>
    <row r="4" ht="14.25" customHeight="1">
      <c r="A4" s="5">
        <v>46118.0</v>
      </c>
      <c r="B4" s="3" t="s">
        <v>11</v>
      </c>
      <c r="C4" s="3" t="s">
        <v>13</v>
      </c>
      <c r="D4" s="3" t="s">
        <v>43</v>
      </c>
      <c r="E4" s="6">
        <v>1.0</v>
      </c>
      <c r="F4" s="3" t="s">
        <v>14</v>
      </c>
      <c r="G4" s="3" t="s">
        <v>17</v>
      </c>
      <c r="H4" s="1">
        <v>15.0</v>
      </c>
      <c r="I4" s="1">
        <v>4.0</v>
      </c>
      <c r="J4" s="1">
        <v>2026.0</v>
      </c>
    </row>
    <row r="5" ht="14.25" customHeight="1">
      <c r="A5" s="5">
        <v>46118.0</v>
      </c>
      <c r="B5" s="3" t="s">
        <v>11</v>
      </c>
      <c r="C5" s="3" t="s">
        <v>13</v>
      </c>
      <c r="D5" s="3" t="s">
        <v>43</v>
      </c>
      <c r="E5" s="6">
        <v>1.0</v>
      </c>
      <c r="F5" s="3" t="s">
        <v>14</v>
      </c>
      <c r="G5" s="3" t="s">
        <v>17</v>
      </c>
      <c r="H5" s="1">
        <v>15.0</v>
      </c>
      <c r="I5" s="1">
        <v>4.0</v>
      </c>
      <c r="J5" s="1">
        <v>2026.0</v>
      </c>
    </row>
    <row r="6" ht="14.25" customHeight="1">
      <c r="A6" s="5">
        <v>46003.0</v>
      </c>
      <c r="B6" s="3" t="s">
        <v>18</v>
      </c>
      <c r="C6" s="3" t="s">
        <v>26</v>
      </c>
      <c r="D6" s="3" t="s">
        <v>45</v>
      </c>
      <c r="E6" s="6">
        <v>3.0</v>
      </c>
      <c r="F6" s="3" t="s">
        <v>32</v>
      </c>
      <c r="G6" s="3" t="s">
        <v>46</v>
      </c>
      <c r="H6" s="1">
        <v>50.0</v>
      </c>
      <c r="I6" s="1">
        <v>12.0</v>
      </c>
      <c r="J6" s="1">
        <v>2025.0</v>
      </c>
    </row>
    <row r="7" ht="14.25" customHeight="1">
      <c r="A7" s="5">
        <v>46118.0</v>
      </c>
      <c r="B7" s="3" t="s">
        <v>18</v>
      </c>
      <c r="C7" s="3" t="s">
        <v>26</v>
      </c>
      <c r="D7" s="3" t="s">
        <v>47</v>
      </c>
      <c r="E7" s="6">
        <v>7.0</v>
      </c>
      <c r="F7" s="3" t="s">
        <v>14</v>
      </c>
      <c r="G7" s="3" t="s">
        <v>48</v>
      </c>
      <c r="H7" s="1">
        <v>15.0</v>
      </c>
      <c r="I7" s="1">
        <v>4.0</v>
      </c>
      <c r="J7" s="1">
        <v>2026.0</v>
      </c>
    </row>
    <row r="8" ht="14.25" customHeight="1">
      <c r="A8" s="5">
        <v>46118.0</v>
      </c>
      <c r="B8" s="3" t="s">
        <v>18</v>
      </c>
      <c r="C8" s="3" t="s">
        <v>26</v>
      </c>
      <c r="D8" s="3" t="s">
        <v>47</v>
      </c>
      <c r="E8" s="6">
        <v>7.0</v>
      </c>
      <c r="F8" s="3" t="s">
        <v>14</v>
      </c>
      <c r="G8" s="3" t="s">
        <v>48</v>
      </c>
      <c r="H8" s="1">
        <v>15.0</v>
      </c>
      <c r="I8" s="1">
        <v>4.0</v>
      </c>
      <c r="J8" s="1">
        <v>2026.0</v>
      </c>
    </row>
    <row r="9" ht="14.25" customHeight="1">
      <c r="A9" s="5">
        <v>46118.0</v>
      </c>
      <c r="B9" s="3" t="s">
        <v>18</v>
      </c>
      <c r="C9" s="3" t="s">
        <v>26</v>
      </c>
      <c r="D9" s="3" t="s">
        <v>47</v>
      </c>
      <c r="E9" s="6">
        <v>7.0</v>
      </c>
      <c r="F9" s="3" t="s">
        <v>14</v>
      </c>
      <c r="G9" s="3" t="s">
        <v>48</v>
      </c>
      <c r="H9" s="1">
        <v>15.0</v>
      </c>
      <c r="I9" s="1">
        <v>4.0</v>
      </c>
      <c r="J9" s="1">
        <v>2026.0</v>
      </c>
    </row>
    <row r="10" ht="14.25" customHeight="1">
      <c r="A10" s="5">
        <v>46118.0</v>
      </c>
      <c r="B10" s="3" t="s">
        <v>18</v>
      </c>
      <c r="C10" s="3" t="s">
        <v>20</v>
      </c>
      <c r="D10" s="3" t="s">
        <v>47</v>
      </c>
      <c r="E10" s="6">
        <v>7.0</v>
      </c>
      <c r="F10" s="3" t="s">
        <v>14</v>
      </c>
      <c r="G10" s="3" t="s">
        <v>23</v>
      </c>
      <c r="H10" s="1">
        <v>15.0</v>
      </c>
      <c r="I10" s="1">
        <v>4.0</v>
      </c>
      <c r="J10" s="1">
        <v>2026.0</v>
      </c>
    </row>
    <row r="11" ht="14.25" customHeight="1">
      <c r="A11" s="5">
        <v>46119.0</v>
      </c>
      <c r="B11" s="3" t="s">
        <v>24</v>
      </c>
      <c r="C11" s="3" t="s">
        <v>26</v>
      </c>
      <c r="D11" s="3" t="s">
        <v>49</v>
      </c>
      <c r="E11" s="6">
        <v>5.0</v>
      </c>
      <c r="F11" s="3" t="s">
        <v>32</v>
      </c>
      <c r="G11" s="3" t="s">
        <v>50</v>
      </c>
      <c r="H11" s="1">
        <v>15.0</v>
      </c>
      <c r="I11" s="1">
        <v>4.0</v>
      </c>
      <c r="J11" s="1">
        <v>2026.0</v>
      </c>
    </row>
    <row r="12" ht="14.25" customHeight="1">
      <c r="A12" s="5">
        <v>46119.0</v>
      </c>
      <c r="B12" s="3" t="s">
        <v>30</v>
      </c>
      <c r="C12" s="3" t="s">
        <v>26</v>
      </c>
      <c r="D12" s="3" t="s">
        <v>51</v>
      </c>
      <c r="E12" s="6">
        <v>4.0</v>
      </c>
      <c r="F12" s="3" t="s">
        <v>32</v>
      </c>
      <c r="G12" s="3" t="s">
        <v>34</v>
      </c>
      <c r="H12" s="1">
        <v>15.0</v>
      </c>
      <c r="I12" s="1">
        <v>4.0</v>
      </c>
      <c r="J12" s="1">
        <v>2026.0</v>
      </c>
    </row>
    <row r="13" ht="14.25" customHeight="1">
      <c r="A13" s="5">
        <v>46119.0</v>
      </c>
      <c r="B13" s="3" t="s">
        <v>24</v>
      </c>
      <c r="C13" s="3" t="s">
        <v>26</v>
      </c>
      <c r="D13" s="3" t="s">
        <v>52</v>
      </c>
      <c r="E13" s="6">
        <v>7.0</v>
      </c>
      <c r="F13" s="3" t="s">
        <v>21</v>
      </c>
      <c r="G13" s="3" t="s">
        <v>29</v>
      </c>
      <c r="H13" s="1">
        <v>15.0</v>
      </c>
      <c r="I13" s="1">
        <v>4.0</v>
      </c>
      <c r="J13" s="1">
        <v>2026.0</v>
      </c>
    </row>
    <row r="14" ht="14.25" customHeight="1">
      <c r="H14" s="1" t="s">
        <v>35</v>
      </c>
      <c r="I14" s="1" t="s">
        <v>35</v>
      </c>
      <c r="J14" s="1" t="s">
        <v>35</v>
      </c>
    </row>
    <row r="15" ht="14.25" customHeight="1">
      <c r="H15" s="1" t="s">
        <v>35</v>
      </c>
      <c r="I15" s="1" t="s">
        <v>35</v>
      </c>
      <c r="J15" s="1" t="s">
        <v>35</v>
      </c>
    </row>
    <row r="16" ht="14.25" customHeight="1">
      <c r="H16" s="1" t="s">
        <v>35</v>
      </c>
      <c r="I16" s="1" t="s">
        <v>35</v>
      </c>
      <c r="J16" s="1" t="s">
        <v>35</v>
      </c>
    </row>
    <row r="17" ht="14.25" customHeight="1">
      <c r="H17" s="1" t="s">
        <v>35</v>
      </c>
      <c r="I17" s="1" t="s">
        <v>35</v>
      </c>
      <c r="J17" s="1" t="s">
        <v>35</v>
      </c>
    </row>
    <row r="18" ht="14.25" customHeight="1">
      <c r="H18" s="1" t="s">
        <v>35</v>
      </c>
      <c r="I18" s="1" t="s">
        <v>35</v>
      </c>
      <c r="J18" s="1" t="s">
        <v>35</v>
      </c>
    </row>
    <row r="19" ht="14.25" customHeight="1">
      <c r="H19" s="1" t="s">
        <v>35</v>
      </c>
      <c r="I19" s="1" t="s">
        <v>35</v>
      </c>
      <c r="J19" s="1" t="s">
        <v>35</v>
      </c>
    </row>
    <row r="20" ht="14.25" customHeight="1">
      <c r="H20" s="1" t="s">
        <v>35</v>
      </c>
      <c r="I20" s="1" t="s">
        <v>35</v>
      </c>
      <c r="J20" s="1" t="s">
        <v>35</v>
      </c>
    </row>
    <row r="21" ht="14.25" customHeight="1">
      <c r="H21" s="1" t="s">
        <v>35</v>
      </c>
      <c r="I21" s="1" t="s">
        <v>35</v>
      </c>
      <c r="J21" s="1" t="s">
        <v>35</v>
      </c>
    </row>
    <row r="22" ht="14.25" customHeight="1">
      <c r="H22" s="1" t="s">
        <v>35</v>
      </c>
      <c r="I22" s="1" t="s">
        <v>35</v>
      </c>
      <c r="J22" s="1" t="s">
        <v>35</v>
      </c>
    </row>
    <row r="23" ht="14.25" customHeight="1">
      <c r="H23" s="1" t="s">
        <v>35</v>
      </c>
      <c r="I23" s="1" t="s">
        <v>35</v>
      </c>
      <c r="J23" s="1" t="s">
        <v>35</v>
      </c>
    </row>
    <row r="24" ht="14.25" customHeight="1">
      <c r="H24" s="1" t="s">
        <v>35</v>
      </c>
      <c r="I24" s="1" t="s">
        <v>35</v>
      </c>
      <c r="J24" s="1" t="s">
        <v>35</v>
      </c>
    </row>
    <row r="25" ht="14.25" customHeight="1">
      <c r="H25" s="1" t="s">
        <v>35</v>
      </c>
      <c r="I25" s="1" t="s">
        <v>35</v>
      </c>
      <c r="J25" s="1" t="s">
        <v>35</v>
      </c>
    </row>
    <row r="26" ht="14.25" customHeight="1">
      <c r="H26" s="1" t="s">
        <v>35</v>
      </c>
      <c r="I26" s="1" t="s">
        <v>35</v>
      </c>
      <c r="J26" s="1" t="s">
        <v>35</v>
      </c>
    </row>
    <row r="27" ht="14.25" customHeight="1">
      <c r="H27" s="1" t="s">
        <v>35</v>
      </c>
      <c r="I27" s="1" t="s">
        <v>35</v>
      </c>
      <c r="J27" s="1" t="s">
        <v>35</v>
      </c>
    </row>
    <row r="28" ht="14.25" customHeight="1">
      <c r="H28" s="1" t="s">
        <v>35</v>
      </c>
      <c r="I28" s="1" t="s">
        <v>35</v>
      </c>
      <c r="J28" s="1" t="s">
        <v>35</v>
      </c>
    </row>
    <row r="29" ht="14.25" customHeight="1">
      <c r="H29" s="1" t="s">
        <v>35</v>
      </c>
      <c r="I29" s="1" t="s">
        <v>35</v>
      </c>
      <c r="J29" s="1" t="s">
        <v>35</v>
      </c>
    </row>
    <row r="30" ht="14.25" customHeight="1">
      <c r="H30" s="1" t="s">
        <v>35</v>
      </c>
      <c r="I30" s="1" t="s">
        <v>35</v>
      </c>
      <c r="J30" s="1" t="s">
        <v>35</v>
      </c>
    </row>
    <row r="31" ht="14.25" customHeight="1">
      <c r="H31" s="1" t="s">
        <v>35</v>
      </c>
      <c r="I31" s="1" t="s">
        <v>35</v>
      </c>
      <c r="J31" s="1" t="s">
        <v>35</v>
      </c>
    </row>
    <row r="32" ht="14.25" customHeight="1">
      <c r="H32" s="1" t="s">
        <v>35</v>
      </c>
      <c r="I32" s="1" t="s">
        <v>35</v>
      </c>
      <c r="J32" s="1" t="s">
        <v>35</v>
      </c>
    </row>
    <row r="33" ht="14.25" customHeight="1">
      <c r="H33" s="1" t="s">
        <v>35</v>
      </c>
      <c r="I33" s="1" t="s">
        <v>35</v>
      </c>
      <c r="J33" s="1" t="s">
        <v>35</v>
      </c>
    </row>
    <row r="34" ht="14.25" customHeight="1">
      <c r="H34" s="1" t="s">
        <v>35</v>
      </c>
      <c r="I34" s="1" t="s">
        <v>35</v>
      </c>
      <c r="J34" s="1" t="s">
        <v>35</v>
      </c>
    </row>
    <row r="35" ht="14.25" customHeight="1">
      <c r="H35" s="1" t="s">
        <v>35</v>
      </c>
      <c r="I35" s="1" t="s">
        <v>35</v>
      </c>
      <c r="J35" s="1" t="s">
        <v>35</v>
      </c>
    </row>
    <row r="36" ht="14.25" customHeight="1">
      <c r="H36" s="1" t="s">
        <v>35</v>
      </c>
      <c r="I36" s="1" t="s">
        <v>35</v>
      </c>
      <c r="J36" s="1" t="s">
        <v>35</v>
      </c>
    </row>
    <row r="37" ht="14.25" customHeight="1">
      <c r="H37" s="1" t="s">
        <v>35</v>
      </c>
      <c r="I37" s="1" t="s">
        <v>35</v>
      </c>
      <c r="J37" s="1" t="s">
        <v>35</v>
      </c>
    </row>
    <row r="38" ht="14.25" customHeight="1">
      <c r="H38" s="1" t="s">
        <v>35</v>
      </c>
      <c r="I38" s="1" t="s">
        <v>35</v>
      </c>
      <c r="J38" s="1" t="s">
        <v>35</v>
      </c>
    </row>
    <row r="39" ht="14.25" customHeight="1">
      <c r="H39" s="1" t="s">
        <v>35</v>
      </c>
      <c r="I39" s="1" t="s">
        <v>35</v>
      </c>
      <c r="J39" s="1" t="s">
        <v>35</v>
      </c>
    </row>
    <row r="40" ht="14.25" customHeight="1">
      <c r="H40" s="1" t="s">
        <v>35</v>
      </c>
      <c r="I40" s="1" t="s">
        <v>35</v>
      </c>
      <c r="J40" s="1" t="s">
        <v>35</v>
      </c>
    </row>
    <row r="41" ht="14.25" customHeight="1">
      <c r="H41" s="1" t="s">
        <v>35</v>
      </c>
      <c r="I41" s="1" t="s">
        <v>35</v>
      </c>
      <c r="J41" s="1" t="s">
        <v>35</v>
      </c>
    </row>
    <row r="42" ht="14.25" customHeight="1">
      <c r="H42" s="1" t="s">
        <v>35</v>
      </c>
      <c r="I42" s="1" t="s">
        <v>35</v>
      </c>
      <c r="J42" s="1" t="s">
        <v>35</v>
      </c>
    </row>
    <row r="43" ht="14.25" customHeight="1">
      <c r="H43" s="1" t="s">
        <v>35</v>
      </c>
      <c r="I43" s="1" t="s">
        <v>35</v>
      </c>
      <c r="J43" s="1" t="s">
        <v>35</v>
      </c>
    </row>
    <row r="44" ht="14.25" customHeight="1">
      <c r="H44" s="1" t="s">
        <v>35</v>
      </c>
      <c r="I44" s="1" t="s">
        <v>35</v>
      </c>
      <c r="J44" s="1" t="s">
        <v>35</v>
      </c>
    </row>
    <row r="45" ht="14.25" customHeight="1">
      <c r="H45" s="1" t="s">
        <v>35</v>
      </c>
      <c r="I45" s="1" t="s">
        <v>35</v>
      </c>
      <c r="J45" s="1" t="s">
        <v>35</v>
      </c>
    </row>
    <row r="46" ht="14.25" customHeight="1">
      <c r="H46" s="1" t="s">
        <v>35</v>
      </c>
      <c r="I46" s="1" t="s">
        <v>35</v>
      </c>
      <c r="J46" s="1" t="s">
        <v>35</v>
      </c>
    </row>
    <row r="47" ht="14.25" customHeight="1">
      <c r="H47" s="1" t="s">
        <v>35</v>
      </c>
      <c r="I47" s="1" t="s">
        <v>35</v>
      </c>
      <c r="J47" s="1" t="s">
        <v>35</v>
      </c>
    </row>
    <row r="48" ht="14.25" customHeight="1">
      <c r="H48" s="1" t="s">
        <v>35</v>
      </c>
      <c r="I48" s="1" t="s">
        <v>35</v>
      </c>
      <c r="J48" s="1" t="s">
        <v>35</v>
      </c>
    </row>
    <row r="49" ht="14.25" customHeight="1">
      <c r="H49" s="1" t="s">
        <v>35</v>
      </c>
      <c r="I49" s="1" t="s">
        <v>35</v>
      </c>
      <c r="J49" s="1" t="s">
        <v>35</v>
      </c>
    </row>
    <row r="50" ht="14.25" customHeight="1">
      <c r="H50" s="1" t="s">
        <v>35</v>
      </c>
      <c r="I50" s="1" t="s">
        <v>35</v>
      </c>
      <c r="J50" s="1" t="s">
        <v>35</v>
      </c>
    </row>
    <row r="51" ht="14.25" customHeight="1">
      <c r="H51" s="1" t="s">
        <v>35</v>
      </c>
      <c r="I51" s="1" t="s">
        <v>35</v>
      </c>
      <c r="J51" s="1" t="s">
        <v>35</v>
      </c>
    </row>
    <row r="52" ht="14.25" customHeight="1">
      <c r="H52" s="1" t="s">
        <v>35</v>
      </c>
      <c r="I52" s="1" t="s">
        <v>35</v>
      </c>
      <c r="J52" s="1" t="s">
        <v>35</v>
      </c>
    </row>
    <row r="53" ht="14.25" customHeight="1">
      <c r="H53" s="1" t="s">
        <v>35</v>
      </c>
      <c r="I53" s="1" t="s">
        <v>35</v>
      </c>
      <c r="J53" s="1" t="s">
        <v>35</v>
      </c>
    </row>
    <row r="54" ht="14.25" customHeight="1">
      <c r="H54" s="1" t="s">
        <v>35</v>
      </c>
      <c r="I54" s="1" t="s">
        <v>35</v>
      </c>
      <c r="J54" s="1" t="s">
        <v>35</v>
      </c>
    </row>
    <row r="55" ht="14.25" customHeight="1">
      <c r="H55" s="1" t="s">
        <v>35</v>
      </c>
      <c r="I55" s="1" t="s">
        <v>35</v>
      </c>
      <c r="J55" s="1" t="s">
        <v>35</v>
      </c>
    </row>
    <row r="56" ht="14.25" customHeight="1">
      <c r="H56" s="1" t="s">
        <v>35</v>
      </c>
      <c r="I56" s="1" t="s">
        <v>35</v>
      </c>
      <c r="J56" s="1" t="s">
        <v>35</v>
      </c>
    </row>
    <row r="57" ht="14.25" customHeight="1">
      <c r="H57" s="1" t="s">
        <v>35</v>
      </c>
      <c r="I57" s="1" t="s">
        <v>35</v>
      </c>
      <c r="J57" s="1" t="s">
        <v>35</v>
      </c>
    </row>
    <row r="58" ht="14.25" customHeight="1">
      <c r="H58" s="1" t="s">
        <v>35</v>
      </c>
      <c r="I58" s="1" t="s">
        <v>35</v>
      </c>
      <c r="J58" s="1" t="s">
        <v>35</v>
      </c>
    </row>
    <row r="59" ht="14.25" customHeight="1">
      <c r="H59" s="1" t="s">
        <v>35</v>
      </c>
      <c r="I59" s="1" t="s">
        <v>35</v>
      </c>
      <c r="J59" s="1" t="s">
        <v>35</v>
      </c>
    </row>
    <row r="60" ht="14.25" customHeight="1">
      <c r="H60" s="1" t="s">
        <v>35</v>
      </c>
      <c r="I60" s="1" t="s">
        <v>35</v>
      </c>
      <c r="J60" s="1" t="s">
        <v>35</v>
      </c>
    </row>
    <row r="61" ht="14.25" customHeight="1">
      <c r="H61" s="1" t="s">
        <v>35</v>
      </c>
      <c r="I61" s="1" t="s">
        <v>35</v>
      </c>
      <c r="J61" s="1" t="s">
        <v>35</v>
      </c>
    </row>
    <row r="62" ht="14.25" customHeight="1">
      <c r="H62" s="1" t="s">
        <v>35</v>
      </c>
      <c r="I62" s="1" t="s">
        <v>35</v>
      </c>
      <c r="J62" s="1" t="s">
        <v>35</v>
      </c>
    </row>
    <row r="63" ht="14.25" customHeight="1">
      <c r="H63" s="1" t="s">
        <v>35</v>
      </c>
      <c r="I63" s="1" t="s">
        <v>35</v>
      </c>
      <c r="J63" s="1" t="s">
        <v>35</v>
      </c>
    </row>
    <row r="64" ht="14.25" customHeight="1">
      <c r="H64" s="1" t="s">
        <v>35</v>
      </c>
      <c r="I64" s="1" t="s">
        <v>35</v>
      </c>
      <c r="J64" s="1" t="s">
        <v>35</v>
      </c>
    </row>
    <row r="65" ht="14.25" customHeight="1">
      <c r="H65" s="1" t="s">
        <v>35</v>
      </c>
      <c r="I65" s="1" t="s">
        <v>35</v>
      </c>
      <c r="J65" s="1" t="s">
        <v>35</v>
      </c>
    </row>
    <row r="66" ht="14.25" customHeight="1">
      <c r="H66" s="1" t="s">
        <v>35</v>
      </c>
      <c r="I66" s="1" t="s">
        <v>35</v>
      </c>
      <c r="J66" s="1" t="s">
        <v>35</v>
      </c>
    </row>
    <row r="67" ht="14.25" customHeight="1">
      <c r="H67" s="1" t="s">
        <v>35</v>
      </c>
      <c r="I67" s="1" t="s">
        <v>35</v>
      </c>
      <c r="J67" s="1" t="s">
        <v>35</v>
      </c>
    </row>
    <row r="68" ht="14.25" customHeight="1">
      <c r="H68" s="1" t="s">
        <v>35</v>
      </c>
      <c r="I68" s="1" t="s">
        <v>35</v>
      </c>
      <c r="J68" s="1" t="s">
        <v>35</v>
      </c>
    </row>
    <row r="69" ht="14.25" customHeight="1">
      <c r="H69" s="1" t="s">
        <v>35</v>
      </c>
      <c r="I69" s="1" t="s">
        <v>35</v>
      </c>
      <c r="J69" s="1" t="s">
        <v>35</v>
      </c>
    </row>
    <row r="70" ht="14.25" customHeight="1">
      <c r="H70" s="1" t="s">
        <v>35</v>
      </c>
      <c r="I70" s="1" t="s">
        <v>35</v>
      </c>
      <c r="J70" s="1" t="s">
        <v>35</v>
      </c>
    </row>
    <row r="71" ht="14.25" customHeight="1">
      <c r="H71" s="1" t="s">
        <v>35</v>
      </c>
      <c r="I71" s="1" t="s">
        <v>35</v>
      </c>
      <c r="J71" s="1" t="s">
        <v>35</v>
      </c>
    </row>
    <row r="72" ht="14.25" customHeight="1">
      <c r="H72" s="1" t="s">
        <v>35</v>
      </c>
      <c r="I72" s="1" t="s">
        <v>35</v>
      </c>
      <c r="J72" s="1" t="s">
        <v>35</v>
      </c>
    </row>
    <row r="73" ht="14.25" customHeight="1">
      <c r="H73" s="1" t="s">
        <v>35</v>
      </c>
      <c r="I73" s="1" t="s">
        <v>35</v>
      </c>
      <c r="J73" s="1" t="s">
        <v>35</v>
      </c>
    </row>
    <row r="74" ht="14.25" customHeight="1">
      <c r="H74" s="1" t="s">
        <v>35</v>
      </c>
      <c r="I74" s="1" t="s">
        <v>35</v>
      </c>
      <c r="J74" s="1" t="s">
        <v>35</v>
      </c>
    </row>
    <row r="75" ht="14.25" customHeight="1">
      <c r="H75" s="1" t="s">
        <v>35</v>
      </c>
      <c r="I75" s="1" t="s">
        <v>35</v>
      </c>
      <c r="J75" s="1" t="s">
        <v>35</v>
      </c>
    </row>
    <row r="76" ht="14.25" customHeight="1">
      <c r="H76" s="1" t="s">
        <v>35</v>
      </c>
      <c r="I76" s="1" t="s">
        <v>35</v>
      </c>
      <c r="J76" s="1" t="s">
        <v>35</v>
      </c>
    </row>
    <row r="77" ht="14.25" customHeight="1">
      <c r="H77" s="1" t="s">
        <v>35</v>
      </c>
      <c r="I77" s="1" t="s">
        <v>35</v>
      </c>
      <c r="J77" s="1" t="s">
        <v>35</v>
      </c>
    </row>
    <row r="78" ht="14.25" customHeight="1">
      <c r="H78" s="1" t="s">
        <v>35</v>
      </c>
      <c r="I78" s="1" t="s">
        <v>35</v>
      </c>
      <c r="J78" s="1" t="s">
        <v>35</v>
      </c>
    </row>
    <row r="79" ht="14.25" customHeight="1">
      <c r="H79" s="1" t="s">
        <v>35</v>
      </c>
      <c r="I79" s="1" t="s">
        <v>35</v>
      </c>
      <c r="J79" s="1" t="s">
        <v>35</v>
      </c>
    </row>
    <row r="80" ht="14.25" customHeight="1">
      <c r="H80" s="1" t="s">
        <v>35</v>
      </c>
      <c r="I80" s="1" t="s">
        <v>35</v>
      </c>
      <c r="J80" s="1" t="s">
        <v>35</v>
      </c>
    </row>
    <row r="81" ht="14.25" customHeight="1">
      <c r="H81" s="1" t="s">
        <v>35</v>
      </c>
      <c r="I81" s="1" t="s">
        <v>35</v>
      </c>
      <c r="J81" s="1" t="s">
        <v>35</v>
      </c>
    </row>
    <row r="82" ht="14.25" customHeight="1">
      <c r="H82" s="1" t="s">
        <v>35</v>
      </c>
      <c r="I82" s="1" t="s">
        <v>35</v>
      </c>
      <c r="J82" s="1" t="s">
        <v>35</v>
      </c>
    </row>
    <row r="83" ht="14.25" customHeight="1">
      <c r="H83" s="1" t="s">
        <v>35</v>
      </c>
      <c r="I83" s="1" t="s">
        <v>35</v>
      </c>
      <c r="J83" s="1" t="s">
        <v>35</v>
      </c>
    </row>
    <row r="84" ht="14.25" customHeight="1">
      <c r="H84" s="1" t="s">
        <v>35</v>
      </c>
      <c r="I84" s="1" t="s">
        <v>35</v>
      </c>
      <c r="J84" s="1" t="s">
        <v>35</v>
      </c>
    </row>
    <row r="85" ht="14.25" customHeight="1">
      <c r="H85" s="1" t="s">
        <v>35</v>
      </c>
      <c r="I85" s="1" t="s">
        <v>35</v>
      </c>
      <c r="J85" s="1" t="s">
        <v>35</v>
      </c>
    </row>
    <row r="86" ht="14.25" customHeight="1">
      <c r="H86" s="1" t="s">
        <v>35</v>
      </c>
      <c r="I86" s="1" t="s">
        <v>35</v>
      </c>
      <c r="J86" s="1" t="s">
        <v>35</v>
      </c>
    </row>
    <row r="87" ht="14.25" customHeight="1">
      <c r="H87" s="1" t="s">
        <v>35</v>
      </c>
      <c r="I87" s="1" t="s">
        <v>35</v>
      </c>
      <c r="J87" s="1" t="s">
        <v>35</v>
      </c>
    </row>
    <row r="88" ht="14.25" customHeight="1">
      <c r="H88" s="1" t="s">
        <v>35</v>
      </c>
      <c r="I88" s="1" t="s">
        <v>35</v>
      </c>
      <c r="J88" s="1" t="s">
        <v>35</v>
      </c>
    </row>
    <row r="89" ht="14.25" customHeight="1">
      <c r="H89" s="1" t="s">
        <v>35</v>
      </c>
      <c r="I89" s="1" t="s">
        <v>35</v>
      </c>
      <c r="J89" s="1" t="s">
        <v>35</v>
      </c>
    </row>
    <row r="90" ht="14.25" customHeight="1">
      <c r="H90" s="1" t="s">
        <v>35</v>
      </c>
      <c r="I90" s="1" t="s">
        <v>35</v>
      </c>
      <c r="J90" s="1" t="s">
        <v>35</v>
      </c>
    </row>
    <row r="91" ht="14.25" customHeight="1">
      <c r="H91" s="1" t="s">
        <v>35</v>
      </c>
      <c r="I91" s="1" t="s">
        <v>35</v>
      </c>
      <c r="J91" s="1" t="s">
        <v>35</v>
      </c>
    </row>
    <row r="92" ht="14.25" customHeight="1">
      <c r="H92" s="1" t="s">
        <v>35</v>
      </c>
      <c r="I92" s="1" t="s">
        <v>35</v>
      </c>
      <c r="J92" s="1" t="s">
        <v>35</v>
      </c>
    </row>
    <row r="93" ht="14.25" customHeight="1">
      <c r="H93" s="1" t="s">
        <v>35</v>
      </c>
      <c r="I93" s="1" t="s">
        <v>35</v>
      </c>
      <c r="J93" s="1" t="s">
        <v>35</v>
      </c>
    </row>
    <row r="94" ht="14.25" customHeight="1">
      <c r="H94" s="1" t="s">
        <v>35</v>
      </c>
      <c r="I94" s="1" t="s">
        <v>35</v>
      </c>
      <c r="J94" s="1" t="s">
        <v>35</v>
      </c>
    </row>
    <row r="95" ht="14.25" customHeight="1">
      <c r="H95" s="1" t="s">
        <v>35</v>
      </c>
      <c r="I95" s="1" t="s">
        <v>35</v>
      </c>
      <c r="J95" s="1" t="s">
        <v>35</v>
      </c>
    </row>
    <row r="96" ht="14.25" customHeight="1">
      <c r="H96" s="1" t="s">
        <v>35</v>
      </c>
      <c r="I96" s="1" t="s">
        <v>35</v>
      </c>
      <c r="J96" s="1" t="s">
        <v>35</v>
      </c>
    </row>
    <row r="97" ht="14.25" customHeight="1">
      <c r="H97" s="1" t="s">
        <v>35</v>
      </c>
      <c r="I97" s="1" t="s">
        <v>35</v>
      </c>
      <c r="J97" s="1" t="s">
        <v>35</v>
      </c>
    </row>
    <row r="98" ht="14.25" customHeight="1">
      <c r="H98" s="1" t="s">
        <v>35</v>
      </c>
      <c r="I98" s="1" t="s">
        <v>35</v>
      </c>
      <c r="J98" s="1" t="s">
        <v>35</v>
      </c>
    </row>
    <row r="99" ht="14.25" customHeight="1">
      <c r="H99" s="1" t="s">
        <v>35</v>
      </c>
      <c r="I99" s="1" t="s">
        <v>35</v>
      </c>
      <c r="J99" s="1" t="s">
        <v>35</v>
      </c>
    </row>
    <row r="100" ht="14.25" customHeight="1">
      <c r="H100" s="1" t="s">
        <v>35</v>
      </c>
      <c r="I100" s="1" t="s">
        <v>35</v>
      </c>
      <c r="J100" s="1" t="s">
        <v>35</v>
      </c>
    </row>
    <row r="101" ht="14.25" customHeight="1">
      <c r="H101" s="1" t="s">
        <v>35</v>
      </c>
      <c r="I101" s="1" t="s">
        <v>35</v>
      </c>
      <c r="J101" s="1" t="s">
        <v>35</v>
      </c>
    </row>
    <row r="102" ht="14.25" customHeight="1">
      <c r="H102" s="1" t="s">
        <v>35</v>
      </c>
      <c r="I102" s="1" t="s">
        <v>35</v>
      </c>
      <c r="J102" s="1" t="s">
        <v>35</v>
      </c>
    </row>
    <row r="103" ht="14.25" customHeight="1">
      <c r="H103" s="1" t="s">
        <v>35</v>
      </c>
      <c r="I103" s="1" t="s">
        <v>35</v>
      </c>
      <c r="J103" s="1" t="s">
        <v>35</v>
      </c>
    </row>
    <row r="104" ht="14.25" customHeight="1">
      <c r="H104" s="1" t="s">
        <v>35</v>
      </c>
      <c r="I104" s="1" t="s">
        <v>35</v>
      </c>
      <c r="J104" s="1" t="s">
        <v>35</v>
      </c>
    </row>
    <row r="105" ht="14.25" customHeight="1">
      <c r="H105" s="1" t="s">
        <v>35</v>
      </c>
      <c r="I105" s="1" t="s">
        <v>35</v>
      </c>
      <c r="J105" s="1" t="s">
        <v>35</v>
      </c>
    </row>
    <row r="106" ht="14.25" customHeight="1">
      <c r="H106" s="1" t="s">
        <v>35</v>
      </c>
      <c r="I106" s="1" t="s">
        <v>35</v>
      </c>
      <c r="J106" s="1" t="s">
        <v>35</v>
      </c>
    </row>
    <row r="107" ht="14.25" customHeight="1">
      <c r="H107" s="1" t="s">
        <v>35</v>
      </c>
      <c r="I107" s="1" t="s">
        <v>35</v>
      </c>
      <c r="J107" s="1" t="s">
        <v>35</v>
      </c>
    </row>
    <row r="108" ht="14.25" customHeight="1">
      <c r="H108" s="1" t="s">
        <v>35</v>
      </c>
      <c r="I108" s="1" t="s">
        <v>35</v>
      </c>
      <c r="J108" s="1" t="s">
        <v>35</v>
      </c>
    </row>
    <row r="109" ht="14.25" customHeight="1">
      <c r="H109" s="1" t="s">
        <v>35</v>
      </c>
      <c r="I109" s="1" t="s">
        <v>35</v>
      </c>
      <c r="J109" s="1" t="s">
        <v>35</v>
      </c>
    </row>
    <row r="110" ht="14.25" customHeight="1">
      <c r="H110" s="1" t="s">
        <v>35</v>
      </c>
      <c r="I110" s="1" t="s">
        <v>35</v>
      </c>
      <c r="J110" s="1" t="s">
        <v>35</v>
      </c>
    </row>
    <row r="111" ht="14.25" customHeight="1">
      <c r="H111" s="1" t="s">
        <v>35</v>
      </c>
      <c r="I111" s="1" t="s">
        <v>35</v>
      </c>
      <c r="J111" s="1" t="s">
        <v>35</v>
      </c>
    </row>
    <row r="112" ht="14.25" customHeight="1">
      <c r="H112" s="1" t="s">
        <v>35</v>
      </c>
      <c r="I112" s="1" t="s">
        <v>35</v>
      </c>
      <c r="J112" s="1" t="s">
        <v>35</v>
      </c>
    </row>
    <row r="113" ht="14.25" customHeight="1">
      <c r="H113" s="1" t="s">
        <v>35</v>
      </c>
      <c r="I113" s="1" t="s">
        <v>35</v>
      </c>
      <c r="J113" s="1" t="s">
        <v>35</v>
      </c>
    </row>
    <row r="114" ht="14.25" customHeight="1">
      <c r="H114" s="1" t="s">
        <v>35</v>
      </c>
      <c r="I114" s="1" t="s">
        <v>35</v>
      </c>
      <c r="J114" s="1" t="s">
        <v>35</v>
      </c>
    </row>
    <row r="115" ht="14.25" customHeight="1">
      <c r="H115" s="1" t="s">
        <v>35</v>
      </c>
      <c r="I115" s="1" t="s">
        <v>35</v>
      </c>
      <c r="J115" s="1" t="s">
        <v>35</v>
      </c>
    </row>
    <row r="116" ht="14.25" customHeight="1">
      <c r="H116" s="1" t="s">
        <v>35</v>
      </c>
      <c r="I116" s="1" t="s">
        <v>35</v>
      </c>
      <c r="J116" s="1" t="s">
        <v>35</v>
      </c>
    </row>
    <row r="117" ht="14.25" customHeight="1">
      <c r="H117" s="1" t="s">
        <v>35</v>
      </c>
      <c r="I117" s="1" t="s">
        <v>35</v>
      </c>
      <c r="J117" s="1" t="s">
        <v>35</v>
      </c>
    </row>
    <row r="118" ht="14.25" customHeight="1">
      <c r="H118" s="1" t="s">
        <v>35</v>
      </c>
      <c r="I118" s="1" t="s">
        <v>35</v>
      </c>
      <c r="J118" s="1" t="s">
        <v>35</v>
      </c>
    </row>
    <row r="119" ht="14.25" customHeight="1">
      <c r="H119" s="1" t="s">
        <v>35</v>
      </c>
      <c r="I119" s="1" t="s">
        <v>35</v>
      </c>
      <c r="J119" s="1" t="s">
        <v>35</v>
      </c>
    </row>
    <row r="120" ht="14.25" customHeight="1">
      <c r="H120" s="1" t="s">
        <v>35</v>
      </c>
      <c r="I120" s="1" t="s">
        <v>35</v>
      </c>
      <c r="J120" s="1" t="s">
        <v>35</v>
      </c>
    </row>
    <row r="121" ht="14.25" customHeight="1">
      <c r="H121" s="1" t="s">
        <v>35</v>
      </c>
      <c r="I121" s="1" t="s">
        <v>35</v>
      </c>
      <c r="J121" s="1" t="s">
        <v>35</v>
      </c>
    </row>
    <row r="122" ht="14.25" customHeight="1">
      <c r="H122" s="1" t="s">
        <v>35</v>
      </c>
      <c r="I122" s="1" t="s">
        <v>35</v>
      </c>
      <c r="J122" s="1" t="s">
        <v>35</v>
      </c>
    </row>
    <row r="123" ht="14.25" customHeight="1">
      <c r="H123" s="1" t="s">
        <v>35</v>
      </c>
      <c r="I123" s="1" t="s">
        <v>35</v>
      </c>
      <c r="J123" s="1" t="s">
        <v>35</v>
      </c>
    </row>
    <row r="124" ht="14.25" customHeight="1">
      <c r="H124" s="1" t="s">
        <v>35</v>
      </c>
      <c r="I124" s="1" t="s">
        <v>35</v>
      </c>
      <c r="J124" s="1" t="s">
        <v>35</v>
      </c>
    </row>
    <row r="125" ht="14.25" customHeight="1">
      <c r="H125" s="1" t="s">
        <v>35</v>
      </c>
      <c r="I125" s="1" t="s">
        <v>35</v>
      </c>
      <c r="J125" s="1" t="s">
        <v>35</v>
      </c>
    </row>
    <row r="126" ht="14.25" customHeight="1">
      <c r="H126" s="1" t="s">
        <v>35</v>
      </c>
      <c r="I126" s="1" t="s">
        <v>35</v>
      </c>
      <c r="J126" s="1" t="s">
        <v>35</v>
      </c>
    </row>
    <row r="127" ht="14.25" customHeight="1">
      <c r="H127" s="1" t="s">
        <v>35</v>
      </c>
      <c r="I127" s="1" t="s">
        <v>35</v>
      </c>
      <c r="J127" s="1" t="s">
        <v>35</v>
      </c>
    </row>
    <row r="128" ht="14.25" customHeight="1">
      <c r="H128" s="1" t="s">
        <v>35</v>
      </c>
      <c r="I128" s="1" t="s">
        <v>35</v>
      </c>
      <c r="J128" s="1" t="s">
        <v>35</v>
      </c>
    </row>
    <row r="129" ht="14.25" customHeight="1">
      <c r="H129" s="1" t="s">
        <v>35</v>
      </c>
      <c r="I129" s="1" t="s">
        <v>35</v>
      </c>
      <c r="J129" s="1" t="s">
        <v>35</v>
      </c>
    </row>
    <row r="130" ht="14.25" customHeight="1">
      <c r="H130" s="1" t="s">
        <v>35</v>
      </c>
      <c r="I130" s="1" t="s">
        <v>35</v>
      </c>
      <c r="J130" s="1" t="s">
        <v>35</v>
      </c>
    </row>
    <row r="131" ht="14.25" customHeight="1">
      <c r="H131" s="1" t="s">
        <v>35</v>
      </c>
      <c r="I131" s="1" t="s">
        <v>35</v>
      </c>
      <c r="J131" s="1" t="s">
        <v>35</v>
      </c>
    </row>
    <row r="132" ht="14.25" customHeight="1">
      <c r="H132" s="1" t="s">
        <v>35</v>
      </c>
      <c r="I132" s="1" t="s">
        <v>35</v>
      </c>
      <c r="J132" s="1" t="s">
        <v>35</v>
      </c>
    </row>
    <row r="133" ht="14.25" customHeight="1">
      <c r="H133" s="1" t="s">
        <v>35</v>
      </c>
      <c r="I133" s="1" t="s">
        <v>35</v>
      </c>
      <c r="J133" s="1" t="s">
        <v>35</v>
      </c>
    </row>
    <row r="134" ht="14.25" customHeight="1">
      <c r="H134" s="1" t="s">
        <v>35</v>
      </c>
      <c r="I134" s="1" t="s">
        <v>35</v>
      </c>
      <c r="J134" s="1" t="s">
        <v>35</v>
      </c>
    </row>
    <row r="135" ht="14.25" customHeight="1">
      <c r="H135" s="1" t="s">
        <v>35</v>
      </c>
      <c r="I135" s="1" t="s">
        <v>35</v>
      </c>
      <c r="J135" s="1" t="s">
        <v>35</v>
      </c>
    </row>
    <row r="136" ht="14.25" customHeight="1">
      <c r="H136" s="1" t="s">
        <v>35</v>
      </c>
      <c r="I136" s="1" t="s">
        <v>35</v>
      </c>
      <c r="J136" s="1" t="s">
        <v>35</v>
      </c>
    </row>
    <row r="137" ht="14.25" customHeight="1">
      <c r="H137" s="1" t="s">
        <v>35</v>
      </c>
      <c r="I137" s="1" t="s">
        <v>35</v>
      </c>
      <c r="J137" s="1" t="s">
        <v>35</v>
      </c>
    </row>
    <row r="138" ht="14.25" customHeight="1">
      <c r="H138" s="1" t="s">
        <v>35</v>
      </c>
      <c r="I138" s="1" t="s">
        <v>35</v>
      </c>
      <c r="J138" s="1" t="s">
        <v>35</v>
      </c>
    </row>
    <row r="139" ht="14.25" customHeight="1">
      <c r="H139" s="1" t="s">
        <v>35</v>
      </c>
      <c r="I139" s="1" t="s">
        <v>35</v>
      </c>
      <c r="J139" s="1" t="s">
        <v>35</v>
      </c>
    </row>
    <row r="140" ht="14.25" customHeight="1">
      <c r="H140" s="1" t="s">
        <v>35</v>
      </c>
      <c r="I140" s="1" t="s">
        <v>35</v>
      </c>
      <c r="J140" s="1" t="s">
        <v>35</v>
      </c>
    </row>
    <row r="141" ht="14.25" customHeight="1">
      <c r="H141" s="1" t="s">
        <v>35</v>
      </c>
      <c r="I141" s="1" t="s">
        <v>35</v>
      </c>
      <c r="J141" s="1" t="s">
        <v>35</v>
      </c>
    </row>
    <row r="142" ht="14.25" customHeight="1">
      <c r="H142" s="1" t="s">
        <v>35</v>
      </c>
      <c r="I142" s="1" t="s">
        <v>35</v>
      </c>
      <c r="J142" s="1" t="s">
        <v>35</v>
      </c>
    </row>
    <row r="143" ht="14.25" customHeight="1">
      <c r="H143" s="1" t="s">
        <v>35</v>
      </c>
      <c r="I143" s="1" t="s">
        <v>35</v>
      </c>
      <c r="J143" s="1" t="s">
        <v>35</v>
      </c>
    </row>
    <row r="144" ht="14.25" customHeight="1">
      <c r="H144" s="1" t="s">
        <v>35</v>
      </c>
      <c r="I144" s="1" t="s">
        <v>35</v>
      </c>
      <c r="J144" s="1" t="s">
        <v>35</v>
      </c>
    </row>
    <row r="145" ht="14.25" customHeight="1">
      <c r="H145" s="1" t="s">
        <v>35</v>
      </c>
      <c r="I145" s="1" t="s">
        <v>35</v>
      </c>
      <c r="J145" s="1" t="s">
        <v>35</v>
      </c>
    </row>
    <row r="146" ht="14.25" customHeight="1">
      <c r="H146" s="1" t="s">
        <v>35</v>
      </c>
      <c r="I146" s="1" t="s">
        <v>35</v>
      </c>
      <c r="J146" s="1" t="s">
        <v>35</v>
      </c>
    </row>
    <row r="147" ht="14.25" customHeight="1">
      <c r="H147" s="1" t="s">
        <v>35</v>
      </c>
      <c r="I147" s="1" t="s">
        <v>35</v>
      </c>
      <c r="J147" s="1" t="s">
        <v>35</v>
      </c>
    </row>
    <row r="148" ht="14.25" customHeight="1">
      <c r="H148" s="1" t="s">
        <v>35</v>
      </c>
      <c r="I148" s="1" t="s">
        <v>35</v>
      </c>
      <c r="J148" s="1" t="s">
        <v>35</v>
      </c>
    </row>
    <row r="149" ht="14.25" customHeight="1">
      <c r="H149" s="1" t="s">
        <v>35</v>
      </c>
      <c r="I149" s="1" t="s">
        <v>35</v>
      </c>
      <c r="J149" s="1" t="s">
        <v>35</v>
      </c>
    </row>
    <row r="150" ht="14.25" customHeight="1">
      <c r="H150" s="1" t="s">
        <v>35</v>
      </c>
      <c r="I150" s="1" t="s">
        <v>35</v>
      </c>
      <c r="J150" s="1" t="s">
        <v>35</v>
      </c>
    </row>
    <row r="151" ht="14.25" customHeight="1">
      <c r="H151" s="1" t="s">
        <v>35</v>
      </c>
      <c r="I151" s="1" t="s">
        <v>35</v>
      </c>
      <c r="J151" s="1" t="s">
        <v>35</v>
      </c>
    </row>
    <row r="152" ht="14.25" customHeight="1">
      <c r="H152" s="1" t="s">
        <v>35</v>
      </c>
      <c r="I152" s="1" t="s">
        <v>35</v>
      </c>
      <c r="J152" s="1" t="s">
        <v>35</v>
      </c>
    </row>
    <row r="153" ht="14.25" customHeight="1">
      <c r="H153" s="1" t="s">
        <v>35</v>
      </c>
      <c r="I153" s="1" t="s">
        <v>35</v>
      </c>
      <c r="J153" s="1" t="s">
        <v>35</v>
      </c>
    </row>
    <row r="154" ht="14.25" customHeight="1">
      <c r="H154" s="1" t="s">
        <v>35</v>
      </c>
      <c r="I154" s="1" t="s">
        <v>35</v>
      </c>
      <c r="J154" s="1" t="s">
        <v>35</v>
      </c>
    </row>
    <row r="155" ht="14.25" customHeight="1">
      <c r="H155" s="1" t="s">
        <v>35</v>
      </c>
      <c r="I155" s="1" t="s">
        <v>35</v>
      </c>
      <c r="J155" s="1" t="s">
        <v>35</v>
      </c>
    </row>
    <row r="156" ht="14.25" customHeight="1">
      <c r="H156" s="1" t="s">
        <v>35</v>
      </c>
      <c r="I156" s="1" t="s">
        <v>35</v>
      </c>
      <c r="J156" s="1" t="s">
        <v>35</v>
      </c>
    </row>
    <row r="157" ht="14.25" customHeight="1">
      <c r="H157" s="1" t="s">
        <v>35</v>
      </c>
      <c r="I157" s="1" t="s">
        <v>35</v>
      </c>
      <c r="J157" s="1" t="s">
        <v>35</v>
      </c>
    </row>
    <row r="158" ht="14.25" customHeight="1">
      <c r="H158" s="1" t="s">
        <v>35</v>
      </c>
      <c r="I158" s="1" t="s">
        <v>35</v>
      </c>
      <c r="J158" s="1" t="s">
        <v>35</v>
      </c>
    </row>
    <row r="159" ht="14.25" customHeight="1">
      <c r="H159" s="1" t="s">
        <v>35</v>
      </c>
      <c r="I159" s="1" t="s">
        <v>35</v>
      </c>
      <c r="J159" s="1" t="s">
        <v>35</v>
      </c>
    </row>
    <row r="160" ht="14.25" customHeight="1">
      <c r="H160" s="1" t="s">
        <v>35</v>
      </c>
      <c r="I160" s="1" t="s">
        <v>35</v>
      </c>
      <c r="J160" s="1" t="s">
        <v>35</v>
      </c>
    </row>
    <row r="161" ht="14.25" customHeight="1">
      <c r="H161" s="1" t="s">
        <v>35</v>
      </c>
      <c r="I161" s="1" t="s">
        <v>35</v>
      </c>
      <c r="J161" s="1" t="s">
        <v>35</v>
      </c>
    </row>
    <row r="162" ht="14.25" customHeight="1">
      <c r="H162" s="1" t="s">
        <v>35</v>
      </c>
      <c r="I162" s="1" t="s">
        <v>35</v>
      </c>
      <c r="J162" s="1" t="s">
        <v>35</v>
      </c>
    </row>
    <row r="163" ht="14.25" customHeight="1">
      <c r="H163" s="1" t="s">
        <v>35</v>
      </c>
      <c r="I163" s="1" t="s">
        <v>35</v>
      </c>
      <c r="J163" s="1" t="s">
        <v>35</v>
      </c>
    </row>
    <row r="164" ht="14.25" customHeight="1">
      <c r="H164" s="1" t="s">
        <v>35</v>
      </c>
      <c r="I164" s="1" t="s">
        <v>35</v>
      </c>
      <c r="J164" s="1" t="s">
        <v>35</v>
      </c>
    </row>
    <row r="165" ht="14.25" customHeight="1">
      <c r="H165" s="1" t="s">
        <v>35</v>
      </c>
      <c r="I165" s="1" t="s">
        <v>35</v>
      </c>
      <c r="J165" s="1" t="s">
        <v>35</v>
      </c>
    </row>
    <row r="166" ht="14.25" customHeight="1">
      <c r="H166" s="1" t="s">
        <v>35</v>
      </c>
      <c r="I166" s="1" t="s">
        <v>35</v>
      </c>
      <c r="J166" s="1" t="s">
        <v>35</v>
      </c>
    </row>
    <row r="167" ht="14.25" customHeight="1">
      <c r="H167" s="1" t="s">
        <v>35</v>
      </c>
      <c r="I167" s="1" t="s">
        <v>35</v>
      </c>
      <c r="J167" s="1" t="s">
        <v>35</v>
      </c>
    </row>
    <row r="168" ht="14.25" customHeight="1">
      <c r="H168" s="1" t="s">
        <v>35</v>
      </c>
      <c r="I168" s="1" t="s">
        <v>35</v>
      </c>
      <c r="J168" s="1" t="s">
        <v>35</v>
      </c>
    </row>
    <row r="169" ht="14.25" customHeight="1">
      <c r="H169" s="1" t="s">
        <v>35</v>
      </c>
      <c r="I169" s="1" t="s">
        <v>35</v>
      </c>
      <c r="J169" s="1" t="s">
        <v>35</v>
      </c>
    </row>
    <row r="170" ht="14.25" customHeight="1">
      <c r="H170" s="1" t="s">
        <v>35</v>
      </c>
      <c r="I170" s="1" t="s">
        <v>35</v>
      </c>
      <c r="J170" s="1" t="s">
        <v>35</v>
      </c>
    </row>
    <row r="171" ht="14.25" customHeight="1">
      <c r="H171" s="1" t="s">
        <v>35</v>
      </c>
      <c r="I171" s="1" t="s">
        <v>35</v>
      </c>
      <c r="J171" s="1" t="s">
        <v>35</v>
      </c>
    </row>
    <row r="172" ht="14.25" customHeight="1">
      <c r="H172" s="1" t="s">
        <v>35</v>
      </c>
      <c r="I172" s="1" t="s">
        <v>35</v>
      </c>
      <c r="J172" s="1" t="s">
        <v>35</v>
      </c>
    </row>
    <row r="173" ht="14.25" customHeight="1">
      <c r="H173" s="1" t="s">
        <v>35</v>
      </c>
      <c r="I173" s="1" t="s">
        <v>35</v>
      </c>
      <c r="J173" s="1" t="s">
        <v>35</v>
      </c>
    </row>
    <row r="174" ht="14.25" customHeight="1">
      <c r="H174" s="1" t="s">
        <v>35</v>
      </c>
      <c r="I174" s="1" t="s">
        <v>35</v>
      </c>
      <c r="J174" s="1" t="s">
        <v>35</v>
      </c>
    </row>
    <row r="175" ht="14.25" customHeight="1">
      <c r="H175" s="1" t="s">
        <v>35</v>
      </c>
      <c r="I175" s="1" t="s">
        <v>35</v>
      </c>
      <c r="J175" s="1" t="s">
        <v>35</v>
      </c>
    </row>
    <row r="176" ht="14.25" customHeight="1">
      <c r="H176" s="1" t="s">
        <v>35</v>
      </c>
      <c r="I176" s="1" t="s">
        <v>35</v>
      </c>
      <c r="J176" s="1" t="s">
        <v>35</v>
      </c>
    </row>
    <row r="177" ht="14.25" customHeight="1">
      <c r="H177" s="1" t="s">
        <v>35</v>
      </c>
      <c r="I177" s="1" t="s">
        <v>35</v>
      </c>
      <c r="J177" s="1" t="s">
        <v>35</v>
      </c>
    </row>
    <row r="178" ht="14.25" customHeight="1">
      <c r="H178" s="1" t="s">
        <v>35</v>
      </c>
      <c r="I178" s="1" t="s">
        <v>35</v>
      </c>
      <c r="J178" s="1" t="s">
        <v>35</v>
      </c>
    </row>
    <row r="179" ht="14.25" customHeight="1">
      <c r="H179" s="1" t="s">
        <v>35</v>
      </c>
      <c r="I179" s="1" t="s">
        <v>35</v>
      </c>
      <c r="J179" s="1" t="s">
        <v>35</v>
      </c>
    </row>
    <row r="180" ht="14.25" customHeight="1">
      <c r="H180" s="1" t="s">
        <v>35</v>
      </c>
      <c r="I180" s="1" t="s">
        <v>35</v>
      </c>
      <c r="J180" s="1" t="s">
        <v>35</v>
      </c>
    </row>
    <row r="181" ht="14.25" customHeight="1">
      <c r="H181" s="1" t="s">
        <v>35</v>
      </c>
      <c r="I181" s="1" t="s">
        <v>35</v>
      </c>
      <c r="J181" s="1" t="s">
        <v>35</v>
      </c>
    </row>
    <row r="182" ht="14.25" customHeight="1">
      <c r="H182" s="1" t="s">
        <v>35</v>
      </c>
      <c r="I182" s="1" t="s">
        <v>35</v>
      </c>
      <c r="J182" s="1" t="s">
        <v>35</v>
      </c>
    </row>
    <row r="183" ht="14.25" customHeight="1">
      <c r="H183" s="1" t="s">
        <v>35</v>
      </c>
      <c r="I183" s="1" t="s">
        <v>35</v>
      </c>
      <c r="J183" s="1" t="s">
        <v>35</v>
      </c>
    </row>
    <row r="184" ht="14.25" customHeight="1">
      <c r="H184" s="1" t="s">
        <v>35</v>
      </c>
      <c r="I184" s="1" t="s">
        <v>35</v>
      </c>
      <c r="J184" s="1" t="s">
        <v>35</v>
      </c>
    </row>
    <row r="185" ht="14.25" customHeight="1">
      <c r="H185" s="1" t="s">
        <v>35</v>
      </c>
      <c r="I185" s="1" t="s">
        <v>35</v>
      </c>
      <c r="J185" s="1" t="s">
        <v>35</v>
      </c>
    </row>
    <row r="186" ht="14.25" customHeight="1">
      <c r="H186" s="1" t="s">
        <v>35</v>
      </c>
      <c r="I186" s="1" t="s">
        <v>35</v>
      </c>
      <c r="J186" s="1" t="s">
        <v>35</v>
      </c>
    </row>
    <row r="187" ht="14.25" customHeight="1">
      <c r="H187" s="1" t="s">
        <v>35</v>
      </c>
      <c r="I187" s="1" t="s">
        <v>35</v>
      </c>
      <c r="J187" s="1" t="s">
        <v>35</v>
      </c>
    </row>
    <row r="188" ht="14.25" customHeight="1">
      <c r="H188" s="1" t="s">
        <v>35</v>
      </c>
      <c r="I188" s="1" t="s">
        <v>35</v>
      </c>
      <c r="J188" s="1" t="s">
        <v>35</v>
      </c>
    </row>
    <row r="189" ht="14.25" customHeight="1">
      <c r="H189" s="1" t="s">
        <v>35</v>
      </c>
      <c r="I189" s="1" t="s">
        <v>35</v>
      </c>
      <c r="J189" s="1" t="s">
        <v>35</v>
      </c>
    </row>
    <row r="190" ht="14.25" customHeight="1">
      <c r="H190" s="1" t="s">
        <v>35</v>
      </c>
      <c r="I190" s="1" t="s">
        <v>35</v>
      </c>
      <c r="J190" s="1" t="s">
        <v>35</v>
      </c>
    </row>
    <row r="191" ht="14.25" customHeight="1">
      <c r="H191" s="1" t="s">
        <v>35</v>
      </c>
      <c r="I191" s="1" t="s">
        <v>35</v>
      </c>
      <c r="J191" s="1" t="s">
        <v>35</v>
      </c>
    </row>
    <row r="192" ht="14.25" customHeight="1">
      <c r="H192" s="1" t="s">
        <v>35</v>
      </c>
      <c r="I192" s="1" t="s">
        <v>35</v>
      </c>
      <c r="J192" s="1" t="s">
        <v>35</v>
      </c>
    </row>
    <row r="193" ht="14.25" customHeight="1">
      <c r="H193" s="1" t="s">
        <v>35</v>
      </c>
      <c r="I193" s="1" t="s">
        <v>35</v>
      </c>
      <c r="J193" s="1" t="s">
        <v>35</v>
      </c>
    </row>
    <row r="194" ht="14.25" customHeight="1">
      <c r="H194" s="1" t="s">
        <v>35</v>
      </c>
      <c r="I194" s="1" t="s">
        <v>35</v>
      </c>
      <c r="J194" s="1" t="s">
        <v>35</v>
      </c>
    </row>
    <row r="195" ht="14.25" customHeight="1">
      <c r="H195" s="1" t="s">
        <v>35</v>
      </c>
      <c r="I195" s="1" t="s">
        <v>35</v>
      </c>
      <c r="J195" s="1" t="s">
        <v>35</v>
      </c>
    </row>
    <row r="196" ht="14.25" customHeight="1">
      <c r="H196" s="1" t="s">
        <v>35</v>
      </c>
      <c r="I196" s="1" t="s">
        <v>35</v>
      </c>
      <c r="J196" s="1" t="s">
        <v>35</v>
      </c>
    </row>
    <row r="197" ht="14.25" customHeight="1">
      <c r="H197" s="1" t="s">
        <v>35</v>
      </c>
      <c r="I197" s="1" t="s">
        <v>35</v>
      </c>
      <c r="J197" s="1" t="s">
        <v>35</v>
      </c>
    </row>
    <row r="198" ht="14.25" customHeight="1">
      <c r="H198" s="1" t="s">
        <v>35</v>
      </c>
      <c r="I198" s="1" t="s">
        <v>35</v>
      </c>
      <c r="J198" s="1" t="s">
        <v>35</v>
      </c>
    </row>
    <row r="199" ht="14.25" customHeight="1">
      <c r="H199" s="1" t="s">
        <v>35</v>
      </c>
      <c r="I199" s="1" t="s">
        <v>35</v>
      </c>
      <c r="J199" s="1" t="s">
        <v>35</v>
      </c>
    </row>
    <row r="200" ht="14.25" customHeight="1">
      <c r="H200" s="1" t="s">
        <v>35</v>
      </c>
      <c r="I200" s="1" t="s">
        <v>35</v>
      </c>
      <c r="J200" s="1" t="s">
        <v>35</v>
      </c>
    </row>
    <row r="201" ht="14.25" customHeight="1">
      <c r="H201" s="1" t="s">
        <v>35</v>
      </c>
      <c r="I201" s="1" t="s">
        <v>35</v>
      </c>
      <c r="J201" s="1" t="s">
        <v>35</v>
      </c>
    </row>
    <row r="202" ht="14.25" customHeight="1">
      <c r="H202" s="1" t="s">
        <v>35</v>
      </c>
      <c r="I202" s="1" t="s">
        <v>35</v>
      </c>
      <c r="J202" s="1" t="s">
        <v>35</v>
      </c>
    </row>
    <row r="203" ht="14.25" customHeight="1">
      <c r="H203" s="1" t="s">
        <v>35</v>
      </c>
      <c r="I203" s="1" t="s">
        <v>35</v>
      </c>
      <c r="J203" s="1" t="s">
        <v>35</v>
      </c>
    </row>
    <row r="204" ht="14.25" customHeight="1">
      <c r="H204" s="1" t="s">
        <v>35</v>
      </c>
      <c r="I204" s="1" t="s">
        <v>35</v>
      </c>
      <c r="J204" s="1" t="s">
        <v>35</v>
      </c>
    </row>
    <row r="205" ht="14.25" customHeight="1">
      <c r="H205" s="1" t="s">
        <v>35</v>
      </c>
      <c r="I205" s="1" t="s">
        <v>35</v>
      </c>
      <c r="J205" s="1" t="s">
        <v>35</v>
      </c>
    </row>
    <row r="206" ht="14.25" customHeight="1">
      <c r="H206" s="1" t="s">
        <v>35</v>
      </c>
      <c r="I206" s="1" t="s">
        <v>35</v>
      </c>
      <c r="J206" s="1" t="s">
        <v>35</v>
      </c>
    </row>
    <row r="207" ht="14.25" customHeight="1">
      <c r="H207" s="1" t="s">
        <v>35</v>
      </c>
      <c r="I207" s="1" t="s">
        <v>35</v>
      </c>
      <c r="J207" s="1" t="s">
        <v>35</v>
      </c>
    </row>
    <row r="208" ht="14.25" customHeight="1">
      <c r="H208" s="1" t="s">
        <v>35</v>
      </c>
      <c r="I208" s="1" t="s">
        <v>35</v>
      </c>
      <c r="J208" s="1" t="s">
        <v>35</v>
      </c>
    </row>
    <row r="209" ht="14.25" customHeight="1">
      <c r="H209" s="1" t="s">
        <v>35</v>
      </c>
      <c r="I209" s="1" t="s">
        <v>35</v>
      </c>
      <c r="J209" s="1" t="s">
        <v>35</v>
      </c>
    </row>
    <row r="210" ht="14.25" customHeight="1">
      <c r="H210" s="1" t="s">
        <v>35</v>
      </c>
      <c r="I210" s="1" t="s">
        <v>35</v>
      </c>
      <c r="J210" s="1" t="s">
        <v>35</v>
      </c>
    </row>
    <row r="211" ht="14.25" customHeight="1">
      <c r="H211" s="1" t="s">
        <v>35</v>
      </c>
      <c r="I211" s="1" t="s">
        <v>35</v>
      </c>
      <c r="J211" s="1" t="s">
        <v>35</v>
      </c>
    </row>
    <row r="212" ht="14.25" customHeight="1">
      <c r="H212" s="1" t="s">
        <v>35</v>
      </c>
      <c r="I212" s="1" t="s">
        <v>35</v>
      </c>
      <c r="J212" s="1" t="s">
        <v>35</v>
      </c>
    </row>
    <row r="213" ht="14.25" customHeight="1">
      <c r="H213" s="1" t="s">
        <v>35</v>
      </c>
      <c r="I213" s="1" t="s">
        <v>35</v>
      </c>
      <c r="J213" s="1" t="s">
        <v>35</v>
      </c>
    </row>
    <row r="214" ht="14.25" customHeight="1">
      <c r="H214" s="1" t="s">
        <v>35</v>
      </c>
      <c r="I214" s="1" t="s">
        <v>35</v>
      </c>
      <c r="J214" s="1" t="s">
        <v>35</v>
      </c>
    </row>
    <row r="215" ht="14.25" customHeight="1">
      <c r="H215" s="1" t="s">
        <v>35</v>
      </c>
      <c r="I215" s="1" t="s">
        <v>35</v>
      </c>
      <c r="J215" s="1" t="s">
        <v>35</v>
      </c>
    </row>
    <row r="216" ht="14.25" customHeight="1">
      <c r="H216" s="1" t="s">
        <v>35</v>
      </c>
      <c r="I216" s="1" t="s">
        <v>35</v>
      </c>
      <c r="J216" s="1" t="s">
        <v>35</v>
      </c>
    </row>
    <row r="217" ht="14.25" customHeight="1">
      <c r="H217" s="1" t="s">
        <v>35</v>
      </c>
      <c r="I217" s="1" t="s">
        <v>35</v>
      </c>
      <c r="J217" s="1" t="s">
        <v>35</v>
      </c>
    </row>
    <row r="218" ht="14.25" customHeight="1">
      <c r="H218" s="1" t="s">
        <v>35</v>
      </c>
      <c r="I218" s="1" t="s">
        <v>35</v>
      </c>
      <c r="J218" s="1" t="s">
        <v>35</v>
      </c>
    </row>
    <row r="219" ht="14.25" customHeight="1">
      <c r="H219" s="1" t="s">
        <v>35</v>
      </c>
      <c r="I219" s="1" t="s">
        <v>35</v>
      </c>
      <c r="J219" s="1" t="s">
        <v>35</v>
      </c>
    </row>
    <row r="220" ht="14.25" customHeight="1">
      <c r="H220" s="1" t="s">
        <v>35</v>
      </c>
      <c r="I220" s="1" t="s">
        <v>35</v>
      </c>
      <c r="J220" s="1" t="s">
        <v>35</v>
      </c>
    </row>
    <row r="221" ht="14.25" customHeight="1">
      <c r="H221" s="1" t="s">
        <v>35</v>
      </c>
      <c r="I221" s="1" t="s">
        <v>35</v>
      </c>
      <c r="J221" s="1" t="s">
        <v>35</v>
      </c>
    </row>
    <row r="222" ht="14.25" customHeight="1">
      <c r="H222" s="1" t="s">
        <v>35</v>
      </c>
      <c r="I222" s="1" t="s">
        <v>35</v>
      </c>
      <c r="J222" s="1" t="s">
        <v>35</v>
      </c>
    </row>
    <row r="223" ht="14.25" customHeight="1">
      <c r="H223" s="1" t="s">
        <v>35</v>
      </c>
      <c r="I223" s="1" t="s">
        <v>35</v>
      </c>
      <c r="J223" s="1" t="s">
        <v>35</v>
      </c>
    </row>
    <row r="224" ht="14.25" customHeight="1">
      <c r="H224" s="1" t="s">
        <v>35</v>
      </c>
      <c r="I224" s="1" t="s">
        <v>35</v>
      </c>
      <c r="J224" s="1" t="s">
        <v>35</v>
      </c>
    </row>
    <row r="225" ht="14.25" customHeight="1">
      <c r="H225" s="1" t="s">
        <v>35</v>
      </c>
      <c r="I225" s="1" t="s">
        <v>35</v>
      </c>
      <c r="J225" s="1" t="s">
        <v>35</v>
      </c>
    </row>
    <row r="226" ht="14.25" customHeight="1">
      <c r="H226" s="1" t="s">
        <v>35</v>
      </c>
      <c r="I226" s="1" t="s">
        <v>35</v>
      </c>
      <c r="J226" s="1" t="s">
        <v>35</v>
      </c>
    </row>
    <row r="227" ht="14.25" customHeight="1">
      <c r="H227" s="1" t="s">
        <v>35</v>
      </c>
      <c r="I227" s="1" t="s">
        <v>35</v>
      </c>
      <c r="J227" s="1" t="s">
        <v>35</v>
      </c>
    </row>
    <row r="228" ht="14.25" customHeight="1">
      <c r="H228" s="1" t="s">
        <v>35</v>
      </c>
      <c r="I228" s="1" t="s">
        <v>35</v>
      </c>
      <c r="J228" s="1" t="s">
        <v>35</v>
      </c>
    </row>
    <row r="229" ht="14.25" customHeight="1">
      <c r="H229" s="1" t="s">
        <v>35</v>
      </c>
      <c r="I229" s="1" t="s">
        <v>35</v>
      </c>
      <c r="J229" s="1" t="s">
        <v>35</v>
      </c>
    </row>
    <row r="230" ht="14.25" customHeight="1">
      <c r="H230" s="1" t="s">
        <v>35</v>
      </c>
      <c r="I230" s="1" t="s">
        <v>35</v>
      </c>
      <c r="J230" s="1" t="s">
        <v>35</v>
      </c>
    </row>
    <row r="231" ht="14.25" customHeight="1">
      <c r="H231" s="1" t="s">
        <v>35</v>
      </c>
      <c r="I231" s="1" t="s">
        <v>35</v>
      </c>
      <c r="J231" s="1" t="s">
        <v>35</v>
      </c>
    </row>
    <row r="232" ht="14.25" customHeight="1">
      <c r="H232" s="1" t="s">
        <v>35</v>
      </c>
      <c r="I232" s="1" t="s">
        <v>35</v>
      </c>
      <c r="J232" s="1" t="s">
        <v>35</v>
      </c>
    </row>
    <row r="233" ht="14.25" customHeight="1">
      <c r="H233" s="1" t="s">
        <v>35</v>
      </c>
      <c r="I233" s="1" t="s">
        <v>35</v>
      </c>
      <c r="J233" s="1" t="s">
        <v>35</v>
      </c>
    </row>
    <row r="234" ht="14.25" customHeight="1">
      <c r="H234" s="1" t="s">
        <v>35</v>
      </c>
      <c r="I234" s="1" t="s">
        <v>35</v>
      </c>
      <c r="J234" s="1" t="s">
        <v>35</v>
      </c>
    </row>
    <row r="235" ht="14.25" customHeight="1">
      <c r="H235" s="1" t="s">
        <v>35</v>
      </c>
      <c r="I235" s="1" t="s">
        <v>35</v>
      </c>
      <c r="J235" s="1" t="s">
        <v>35</v>
      </c>
    </row>
    <row r="236" ht="14.25" customHeight="1">
      <c r="H236" s="1" t="s">
        <v>35</v>
      </c>
      <c r="I236" s="1" t="s">
        <v>35</v>
      </c>
      <c r="J236" s="1" t="s">
        <v>35</v>
      </c>
    </row>
    <row r="237" ht="14.25" customHeight="1">
      <c r="H237" s="1" t="s">
        <v>35</v>
      </c>
      <c r="I237" s="1" t="s">
        <v>35</v>
      </c>
      <c r="J237" s="1" t="s">
        <v>35</v>
      </c>
    </row>
    <row r="238" ht="14.25" customHeight="1">
      <c r="H238" s="1" t="s">
        <v>35</v>
      </c>
      <c r="I238" s="1" t="s">
        <v>35</v>
      </c>
      <c r="J238" s="1" t="s">
        <v>35</v>
      </c>
    </row>
    <row r="239" ht="14.25" customHeight="1">
      <c r="H239" s="1" t="s">
        <v>35</v>
      </c>
      <c r="I239" s="1" t="s">
        <v>35</v>
      </c>
      <c r="J239" s="1" t="s">
        <v>35</v>
      </c>
    </row>
    <row r="240" ht="14.25" customHeight="1">
      <c r="H240" s="1" t="s">
        <v>35</v>
      </c>
      <c r="I240" s="1" t="s">
        <v>35</v>
      </c>
      <c r="J240" s="1" t="s">
        <v>35</v>
      </c>
    </row>
    <row r="241" ht="14.25" customHeight="1">
      <c r="H241" s="1" t="s">
        <v>35</v>
      </c>
      <c r="I241" s="1" t="s">
        <v>35</v>
      </c>
      <c r="J241" s="1" t="s">
        <v>35</v>
      </c>
    </row>
    <row r="242" ht="14.25" customHeight="1">
      <c r="H242" s="1" t="s">
        <v>35</v>
      </c>
      <c r="I242" s="1" t="s">
        <v>35</v>
      </c>
      <c r="J242" s="1" t="s">
        <v>35</v>
      </c>
    </row>
    <row r="243" ht="14.25" customHeight="1">
      <c r="H243" s="1" t="s">
        <v>35</v>
      </c>
      <c r="I243" s="1" t="s">
        <v>35</v>
      </c>
      <c r="J243" s="1" t="s">
        <v>35</v>
      </c>
    </row>
    <row r="244" ht="14.25" customHeight="1">
      <c r="H244" s="1" t="s">
        <v>35</v>
      </c>
      <c r="I244" s="1" t="s">
        <v>35</v>
      </c>
      <c r="J244" s="1" t="s">
        <v>35</v>
      </c>
    </row>
    <row r="245" ht="14.25" customHeight="1">
      <c r="H245" s="1" t="s">
        <v>35</v>
      </c>
      <c r="I245" s="1" t="s">
        <v>35</v>
      </c>
      <c r="J245" s="1" t="s">
        <v>35</v>
      </c>
    </row>
    <row r="246" ht="14.25" customHeight="1">
      <c r="H246" s="1" t="s">
        <v>35</v>
      </c>
      <c r="I246" s="1" t="s">
        <v>35</v>
      </c>
      <c r="J246" s="1" t="s">
        <v>35</v>
      </c>
    </row>
    <row r="247" ht="14.25" customHeight="1">
      <c r="H247" s="1" t="s">
        <v>35</v>
      </c>
      <c r="I247" s="1" t="s">
        <v>35</v>
      </c>
      <c r="J247" s="1" t="s">
        <v>35</v>
      </c>
    </row>
    <row r="248" ht="14.25" customHeight="1">
      <c r="H248" s="1" t="s">
        <v>35</v>
      </c>
      <c r="I248" s="1" t="s">
        <v>35</v>
      </c>
      <c r="J248" s="1" t="s">
        <v>35</v>
      </c>
    </row>
    <row r="249" ht="14.25" customHeight="1">
      <c r="H249" s="1" t="s">
        <v>35</v>
      </c>
      <c r="I249" s="1" t="s">
        <v>35</v>
      </c>
      <c r="J249" s="1" t="s">
        <v>35</v>
      </c>
    </row>
    <row r="250" ht="14.25" customHeight="1">
      <c r="H250" s="1" t="s">
        <v>35</v>
      </c>
      <c r="I250" s="1" t="s">
        <v>35</v>
      </c>
      <c r="J250" s="1" t="s">
        <v>35</v>
      </c>
    </row>
    <row r="251" ht="14.25" customHeight="1">
      <c r="H251" s="1" t="s">
        <v>35</v>
      </c>
      <c r="I251" s="1" t="s">
        <v>35</v>
      </c>
      <c r="J251" s="1" t="s">
        <v>35</v>
      </c>
    </row>
    <row r="252" ht="14.25" customHeight="1">
      <c r="H252" s="1" t="s">
        <v>35</v>
      </c>
      <c r="I252" s="1" t="s">
        <v>35</v>
      </c>
      <c r="J252" s="1" t="s">
        <v>35</v>
      </c>
    </row>
    <row r="253" ht="14.25" customHeight="1">
      <c r="H253" s="1" t="s">
        <v>35</v>
      </c>
      <c r="I253" s="1" t="s">
        <v>35</v>
      </c>
      <c r="J253" s="1" t="s">
        <v>35</v>
      </c>
    </row>
    <row r="254" ht="14.25" customHeight="1">
      <c r="H254" s="1" t="s">
        <v>35</v>
      </c>
      <c r="I254" s="1" t="s">
        <v>35</v>
      </c>
      <c r="J254" s="1" t="s">
        <v>35</v>
      </c>
    </row>
    <row r="255" ht="14.25" customHeight="1">
      <c r="H255" s="1" t="s">
        <v>35</v>
      </c>
      <c r="I255" s="1" t="s">
        <v>35</v>
      </c>
      <c r="J255" s="1" t="s">
        <v>35</v>
      </c>
    </row>
    <row r="256" ht="14.25" customHeight="1">
      <c r="H256" s="1" t="s">
        <v>35</v>
      </c>
      <c r="I256" s="1" t="s">
        <v>35</v>
      </c>
      <c r="J256" s="1" t="s">
        <v>35</v>
      </c>
    </row>
    <row r="257" ht="14.25" customHeight="1">
      <c r="H257" s="1" t="s">
        <v>35</v>
      </c>
      <c r="I257" s="1" t="s">
        <v>35</v>
      </c>
      <c r="J257" s="1" t="s">
        <v>35</v>
      </c>
    </row>
    <row r="258" ht="14.25" customHeight="1">
      <c r="H258" s="1" t="s">
        <v>35</v>
      </c>
      <c r="I258" s="1" t="s">
        <v>35</v>
      </c>
      <c r="J258" s="1" t="s">
        <v>35</v>
      </c>
    </row>
    <row r="259" ht="14.25" customHeight="1">
      <c r="H259" s="1" t="s">
        <v>35</v>
      </c>
      <c r="I259" s="1" t="s">
        <v>35</v>
      </c>
      <c r="J259" s="1" t="s">
        <v>35</v>
      </c>
    </row>
    <row r="260" ht="14.25" customHeight="1">
      <c r="H260" s="1" t="s">
        <v>35</v>
      </c>
      <c r="I260" s="1" t="s">
        <v>35</v>
      </c>
      <c r="J260" s="1" t="s">
        <v>35</v>
      </c>
    </row>
    <row r="261" ht="14.25" customHeight="1">
      <c r="H261" s="1" t="s">
        <v>35</v>
      </c>
      <c r="I261" s="1" t="s">
        <v>35</v>
      </c>
      <c r="J261" s="1" t="s">
        <v>35</v>
      </c>
    </row>
    <row r="262" ht="14.25" customHeight="1">
      <c r="H262" s="1" t="s">
        <v>35</v>
      </c>
      <c r="I262" s="1" t="s">
        <v>35</v>
      </c>
      <c r="J262" s="1" t="s">
        <v>35</v>
      </c>
    </row>
    <row r="263" ht="14.25" customHeight="1">
      <c r="H263" s="1" t="s">
        <v>35</v>
      </c>
      <c r="I263" s="1" t="s">
        <v>35</v>
      </c>
      <c r="J263" s="1" t="s">
        <v>35</v>
      </c>
    </row>
    <row r="264" ht="14.25" customHeight="1">
      <c r="H264" s="1" t="s">
        <v>35</v>
      </c>
      <c r="I264" s="1" t="s">
        <v>35</v>
      </c>
      <c r="J264" s="1" t="s">
        <v>35</v>
      </c>
    </row>
    <row r="265" ht="14.25" customHeight="1">
      <c r="H265" s="1" t="s">
        <v>35</v>
      </c>
      <c r="I265" s="1" t="s">
        <v>35</v>
      </c>
      <c r="J265" s="1" t="s">
        <v>35</v>
      </c>
    </row>
    <row r="266" ht="14.25" customHeight="1">
      <c r="H266" s="1" t="s">
        <v>35</v>
      </c>
      <c r="I266" s="1" t="s">
        <v>35</v>
      </c>
      <c r="J266" s="1" t="s">
        <v>35</v>
      </c>
    </row>
    <row r="267" ht="14.25" customHeight="1">
      <c r="H267" s="1" t="s">
        <v>35</v>
      </c>
      <c r="I267" s="1" t="s">
        <v>35</v>
      </c>
      <c r="J267" s="1" t="s">
        <v>35</v>
      </c>
    </row>
    <row r="268" ht="14.25" customHeight="1">
      <c r="H268" s="1" t="s">
        <v>35</v>
      </c>
      <c r="I268" s="1" t="s">
        <v>35</v>
      </c>
      <c r="J268" s="1" t="s">
        <v>35</v>
      </c>
    </row>
    <row r="269" ht="14.25" customHeight="1">
      <c r="H269" s="1" t="s">
        <v>35</v>
      </c>
      <c r="I269" s="1" t="s">
        <v>35</v>
      </c>
      <c r="J269" s="1" t="s">
        <v>35</v>
      </c>
    </row>
    <row r="270" ht="14.25" customHeight="1">
      <c r="H270" s="1" t="s">
        <v>35</v>
      </c>
      <c r="I270" s="1" t="s">
        <v>35</v>
      </c>
      <c r="J270" s="1" t="s">
        <v>35</v>
      </c>
    </row>
    <row r="271" ht="14.25" customHeight="1">
      <c r="H271" s="1" t="s">
        <v>35</v>
      </c>
      <c r="I271" s="1" t="s">
        <v>35</v>
      </c>
      <c r="J271" s="1" t="s">
        <v>35</v>
      </c>
    </row>
    <row r="272" ht="14.25" customHeight="1">
      <c r="H272" s="1" t="s">
        <v>35</v>
      </c>
      <c r="I272" s="1" t="s">
        <v>35</v>
      </c>
      <c r="J272" s="1" t="s">
        <v>35</v>
      </c>
    </row>
    <row r="273" ht="14.25" customHeight="1">
      <c r="H273" s="1" t="s">
        <v>35</v>
      </c>
      <c r="I273" s="1" t="s">
        <v>35</v>
      </c>
      <c r="J273" s="1" t="s">
        <v>35</v>
      </c>
    </row>
    <row r="274" ht="14.25" customHeight="1">
      <c r="H274" s="1" t="s">
        <v>35</v>
      </c>
      <c r="I274" s="1" t="s">
        <v>35</v>
      </c>
      <c r="J274" s="1" t="s">
        <v>35</v>
      </c>
    </row>
    <row r="275" ht="14.25" customHeight="1">
      <c r="H275" s="1" t="s">
        <v>35</v>
      </c>
      <c r="I275" s="1" t="s">
        <v>35</v>
      </c>
      <c r="J275" s="1" t="s">
        <v>35</v>
      </c>
    </row>
    <row r="276" ht="14.25" customHeight="1">
      <c r="H276" s="1" t="s">
        <v>35</v>
      </c>
      <c r="I276" s="1" t="s">
        <v>35</v>
      </c>
      <c r="J276" s="1" t="s">
        <v>35</v>
      </c>
    </row>
    <row r="277" ht="14.25" customHeight="1">
      <c r="H277" s="1" t="s">
        <v>35</v>
      </c>
      <c r="I277" s="1" t="s">
        <v>35</v>
      </c>
      <c r="J277" s="1" t="s">
        <v>35</v>
      </c>
    </row>
    <row r="278" ht="14.25" customHeight="1">
      <c r="H278" s="1" t="s">
        <v>35</v>
      </c>
      <c r="I278" s="1" t="s">
        <v>35</v>
      </c>
      <c r="J278" s="1" t="s">
        <v>35</v>
      </c>
    </row>
    <row r="279" ht="14.25" customHeight="1">
      <c r="H279" s="1" t="s">
        <v>35</v>
      </c>
      <c r="I279" s="1" t="s">
        <v>35</v>
      </c>
      <c r="J279" s="1" t="s">
        <v>35</v>
      </c>
    </row>
    <row r="280" ht="14.25" customHeight="1">
      <c r="H280" s="1" t="s">
        <v>35</v>
      </c>
      <c r="I280" s="1" t="s">
        <v>35</v>
      </c>
      <c r="J280" s="1" t="s">
        <v>35</v>
      </c>
    </row>
    <row r="281" ht="14.25" customHeight="1">
      <c r="H281" s="1" t="s">
        <v>35</v>
      </c>
      <c r="I281" s="1" t="s">
        <v>35</v>
      </c>
      <c r="J281" s="1" t="s">
        <v>35</v>
      </c>
    </row>
    <row r="282" ht="14.25" customHeight="1">
      <c r="H282" s="1" t="s">
        <v>35</v>
      </c>
      <c r="I282" s="1" t="s">
        <v>35</v>
      </c>
      <c r="J282" s="1" t="s">
        <v>35</v>
      </c>
    </row>
    <row r="283" ht="14.25" customHeight="1">
      <c r="H283" s="1" t="s">
        <v>35</v>
      </c>
      <c r="I283" s="1" t="s">
        <v>35</v>
      </c>
      <c r="J283" s="1" t="s">
        <v>35</v>
      </c>
    </row>
    <row r="284" ht="14.25" customHeight="1">
      <c r="H284" s="1" t="s">
        <v>35</v>
      </c>
      <c r="I284" s="1" t="s">
        <v>35</v>
      </c>
      <c r="J284" s="1" t="s">
        <v>35</v>
      </c>
    </row>
    <row r="285" ht="14.25" customHeight="1">
      <c r="H285" s="1" t="s">
        <v>35</v>
      </c>
      <c r="I285" s="1" t="s">
        <v>35</v>
      </c>
      <c r="J285" s="1" t="s">
        <v>35</v>
      </c>
    </row>
    <row r="286" ht="14.25" customHeight="1">
      <c r="H286" s="1" t="s">
        <v>35</v>
      </c>
      <c r="I286" s="1" t="s">
        <v>35</v>
      </c>
      <c r="J286" s="1" t="s">
        <v>35</v>
      </c>
    </row>
    <row r="287" ht="14.25" customHeight="1">
      <c r="H287" s="1" t="s">
        <v>35</v>
      </c>
      <c r="I287" s="1" t="s">
        <v>35</v>
      </c>
      <c r="J287" s="1" t="s">
        <v>35</v>
      </c>
    </row>
    <row r="288" ht="14.25" customHeight="1">
      <c r="H288" s="1" t="s">
        <v>35</v>
      </c>
      <c r="I288" s="1" t="s">
        <v>35</v>
      </c>
      <c r="J288" s="1" t="s">
        <v>35</v>
      </c>
    </row>
    <row r="289" ht="14.25" customHeight="1">
      <c r="H289" s="1" t="s">
        <v>35</v>
      </c>
      <c r="I289" s="1" t="s">
        <v>35</v>
      </c>
      <c r="J289" s="1" t="s">
        <v>35</v>
      </c>
    </row>
    <row r="290" ht="14.25" customHeight="1">
      <c r="H290" s="1" t="s">
        <v>35</v>
      </c>
      <c r="I290" s="1" t="s">
        <v>35</v>
      </c>
      <c r="J290" s="1" t="s">
        <v>35</v>
      </c>
    </row>
    <row r="291" ht="14.25" customHeight="1">
      <c r="H291" s="1" t="s">
        <v>35</v>
      </c>
      <c r="I291" s="1" t="s">
        <v>35</v>
      </c>
      <c r="J291" s="1" t="s">
        <v>35</v>
      </c>
    </row>
    <row r="292" ht="14.25" customHeight="1">
      <c r="H292" s="1" t="s">
        <v>35</v>
      </c>
      <c r="I292" s="1" t="s">
        <v>35</v>
      </c>
      <c r="J292" s="1" t="s">
        <v>35</v>
      </c>
    </row>
    <row r="293" ht="14.25" customHeight="1">
      <c r="H293" s="1" t="s">
        <v>35</v>
      </c>
      <c r="I293" s="1" t="s">
        <v>35</v>
      </c>
      <c r="J293" s="1" t="s">
        <v>35</v>
      </c>
    </row>
    <row r="294" ht="14.25" customHeight="1">
      <c r="H294" s="1" t="s">
        <v>35</v>
      </c>
      <c r="I294" s="1" t="s">
        <v>35</v>
      </c>
      <c r="J294" s="1" t="s">
        <v>35</v>
      </c>
    </row>
    <row r="295" ht="14.25" customHeight="1">
      <c r="H295" s="1" t="s">
        <v>35</v>
      </c>
      <c r="I295" s="1" t="s">
        <v>35</v>
      </c>
      <c r="J295" s="1" t="s">
        <v>35</v>
      </c>
    </row>
    <row r="296" ht="14.25" customHeight="1">
      <c r="H296" s="1" t="s">
        <v>35</v>
      </c>
      <c r="I296" s="1" t="s">
        <v>35</v>
      </c>
      <c r="J296" s="1" t="s">
        <v>35</v>
      </c>
    </row>
    <row r="297" ht="14.25" customHeight="1">
      <c r="H297" s="1" t="s">
        <v>35</v>
      </c>
      <c r="I297" s="1" t="s">
        <v>35</v>
      </c>
      <c r="J297" s="1" t="s">
        <v>35</v>
      </c>
    </row>
    <row r="298" ht="14.25" customHeight="1">
      <c r="H298" s="1" t="s">
        <v>35</v>
      </c>
      <c r="I298" s="1" t="s">
        <v>35</v>
      </c>
      <c r="J298" s="1" t="s">
        <v>35</v>
      </c>
    </row>
    <row r="299" ht="14.25" customHeight="1">
      <c r="H299" s="1" t="s">
        <v>35</v>
      </c>
      <c r="I299" s="1" t="s">
        <v>35</v>
      </c>
      <c r="J299" s="1" t="s">
        <v>35</v>
      </c>
    </row>
    <row r="300" ht="14.25" customHeight="1">
      <c r="H300" s="1" t="s">
        <v>35</v>
      </c>
      <c r="I300" s="1" t="s">
        <v>35</v>
      </c>
      <c r="J300" s="1" t="s">
        <v>35</v>
      </c>
    </row>
    <row r="301" ht="14.25" customHeight="1">
      <c r="H301" s="1" t="s">
        <v>35</v>
      </c>
      <c r="I301" s="1" t="s">
        <v>35</v>
      </c>
      <c r="J301" s="1" t="s">
        <v>35</v>
      </c>
    </row>
    <row r="302" ht="14.25" customHeight="1">
      <c r="H302" s="1" t="s">
        <v>35</v>
      </c>
      <c r="I302" s="1" t="s">
        <v>35</v>
      </c>
      <c r="J302" s="1" t="s">
        <v>35</v>
      </c>
    </row>
    <row r="303" ht="14.25" customHeight="1">
      <c r="H303" s="1" t="s">
        <v>35</v>
      </c>
      <c r="I303" s="1" t="s">
        <v>35</v>
      </c>
      <c r="J303" s="1" t="s">
        <v>35</v>
      </c>
    </row>
    <row r="304" ht="14.25" customHeight="1">
      <c r="H304" s="1" t="s">
        <v>35</v>
      </c>
      <c r="I304" s="1" t="s">
        <v>35</v>
      </c>
      <c r="J304" s="1" t="s">
        <v>35</v>
      </c>
    </row>
    <row r="305" ht="14.25" customHeight="1">
      <c r="H305" s="1" t="s">
        <v>35</v>
      </c>
      <c r="I305" s="1" t="s">
        <v>35</v>
      </c>
      <c r="J305" s="1" t="s">
        <v>35</v>
      </c>
    </row>
    <row r="306" ht="14.25" customHeight="1">
      <c r="H306" s="1" t="s">
        <v>35</v>
      </c>
      <c r="I306" s="1" t="s">
        <v>35</v>
      </c>
      <c r="J306" s="1" t="s">
        <v>35</v>
      </c>
    </row>
    <row r="307" ht="14.25" customHeight="1">
      <c r="H307" s="1" t="s">
        <v>35</v>
      </c>
      <c r="I307" s="1" t="s">
        <v>35</v>
      </c>
      <c r="J307" s="1" t="s">
        <v>35</v>
      </c>
    </row>
    <row r="308" ht="14.25" customHeight="1">
      <c r="H308" s="1" t="s">
        <v>35</v>
      </c>
      <c r="I308" s="1" t="s">
        <v>35</v>
      </c>
      <c r="J308" s="1" t="s">
        <v>35</v>
      </c>
    </row>
    <row r="309" ht="14.25" customHeight="1">
      <c r="H309" s="1" t="s">
        <v>35</v>
      </c>
      <c r="I309" s="1" t="s">
        <v>35</v>
      </c>
      <c r="J309" s="1" t="s">
        <v>35</v>
      </c>
    </row>
    <row r="310" ht="14.25" customHeight="1">
      <c r="H310" s="1" t="s">
        <v>35</v>
      </c>
      <c r="I310" s="1" t="s">
        <v>35</v>
      </c>
      <c r="J310" s="1" t="s">
        <v>35</v>
      </c>
    </row>
    <row r="311" ht="14.25" customHeight="1">
      <c r="H311" s="1" t="s">
        <v>35</v>
      </c>
      <c r="I311" s="1" t="s">
        <v>35</v>
      </c>
      <c r="J311" s="1" t="s">
        <v>35</v>
      </c>
    </row>
    <row r="312" ht="14.25" customHeight="1">
      <c r="H312" s="1" t="s">
        <v>35</v>
      </c>
      <c r="I312" s="1" t="s">
        <v>35</v>
      </c>
      <c r="J312" s="1" t="s">
        <v>35</v>
      </c>
    </row>
    <row r="313" ht="14.25" customHeight="1">
      <c r="H313" s="1" t="s">
        <v>35</v>
      </c>
      <c r="I313" s="1" t="s">
        <v>35</v>
      </c>
      <c r="J313" s="1" t="s">
        <v>35</v>
      </c>
    </row>
    <row r="314" ht="14.25" customHeight="1">
      <c r="H314" s="1" t="s">
        <v>35</v>
      </c>
      <c r="I314" s="1" t="s">
        <v>35</v>
      </c>
      <c r="J314" s="1" t="s">
        <v>35</v>
      </c>
    </row>
    <row r="315" ht="14.25" customHeight="1">
      <c r="H315" s="1" t="s">
        <v>35</v>
      </c>
      <c r="I315" s="1" t="s">
        <v>35</v>
      </c>
      <c r="J315" s="1" t="s">
        <v>35</v>
      </c>
    </row>
    <row r="316" ht="14.25" customHeight="1">
      <c r="H316" s="1" t="s">
        <v>35</v>
      </c>
      <c r="I316" s="1" t="s">
        <v>35</v>
      </c>
      <c r="J316" s="1" t="s">
        <v>35</v>
      </c>
    </row>
    <row r="317" ht="14.25" customHeight="1">
      <c r="H317" s="1" t="s">
        <v>35</v>
      </c>
      <c r="I317" s="1" t="s">
        <v>35</v>
      </c>
      <c r="J317" s="1" t="s">
        <v>35</v>
      </c>
    </row>
    <row r="318" ht="14.25" customHeight="1">
      <c r="H318" s="1" t="s">
        <v>35</v>
      </c>
      <c r="I318" s="1" t="s">
        <v>35</v>
      </c>
      <c r="J318" s="1" t="s">
        <v>35</v>
      </c>
    </row>
    <row r="319" ht="14.25" customHeight="1">
      <c r="H319" s="1" t="s">
        <v>35</v>
      </c>
      <c r="I319" s="1" t="s">
        <v>35</v>
      </c>
      <c r="J319" s="1" t="s">
        <v>35</v>
      </c>
    </row>
    <row r="320" ht="14.25" customHeight="1">
      <c r="H320" s="1" t="s">
        <v>35</v>
      </c>
      <c r="I320" s="1" t="s">
        <v>35</v>
      </c>
      <c r="J320" s="1" t="s">
        <v>35</v>
      </c>
    </row>
    <row r="321" ht="14.25" customHeight="1">
      <c r="H321" s="1" t="s">
        <v>35</v>
      </c>
      <c r="I321" s="1" t="s">
        <v>35</v>
      </c>
      <c r="J321" s="1" t="s">
        <v>35</v>
      </c>
    </row>
    <row r="322" ht="14.25" customHeight="1">
      <c r="H322" s="1" t="s">
        <v>35</v>
      </c>
      <c r="I322" s="1" t="s">
        <v>35</v>
      </c>
      <c r="J322" s="1" t="s">
        <v>35</v>
      </c>
    </row>
    <row r="323" ht="14.25" customHeight="1">
      <c r="H323" s="1" t="s">
        <v>35</v>
      </c>
      <c r="I323" s="1" t="s">
        <v>35</v>
      </c>
      <c r="J323" s="1" t="s">
        <v>35</v>
      </c>
    </row>
    <row r="324" ht="14.25" customHeight="1">
      <c r="H324" s="1" t="s">
        <v>35</v>
      </c>
      <c r="I324" s="1" t="s">
        <v>35</v>
      </c>
      <c r="J324" s="1" t="s">
        <v>35</v>
      </c>
    </row>
    <row r="325" ht="14.25" customHeight="1">
      <c r="H325" s="1" t="s">
        <v>35</v>
      </c>
      <c r="I325" s="1" t="s">
        <v>35</v>
      </c>
      <c r="J325" s="1" t="s">
        <v>35</v>
      </c>
    </row>
    <row r="326" ht="14.25" customHeight="1">
      <c r="H326" s="1" t="s">
        <v>35</v>
      </c>
      <c r="I326" s="1" t="s">
        <v>35</v>
      </c>
      <c r="J326" s="1" t="s">
        <v>35</v>
      </c>
    </row>
    <row r="327" ht="14.25" customHeight="1">
      <c r="H327" s="1" t="s">
        <v>35</v>
      </c>
      <c r="I327" s="1" t="s">
        <v>35</v>
      </c>
      <c r="J327" s="1" t="s">
        <v>35</v>
      </c>
    </row>
    <row r="328" ht="14.25" customHeight="1">
      <c r="H328" s="1" t="s">
        <v>35</v>
      </c>
      <c r="I328" s="1" t="s">
        <v>35</v>
      </c>
      <c r="J328" s="1" t="s">
        <v>35</v>
      </c>
    </row>
    <row r="329" ht="14.25" customHeight="1">
      <c r="H329" s="1" t="s">
        <v>35</v>
      </c>
      <c r="I329" s="1" t="s">
        <v>35</v>
      </c>
      <c r="J329" s="1" t="s">
        <v>35</v>
      </c>
    </row>
    <row r="330" ht="14.25" customHeight="1">
      <c r="H330" s="1" t="s">
        <v>35</v>
      </c>
      <c r="I330" s="1" t="s">
        <v>35</v>
      </c>
      <c r="J330" s="1" t="s">
        <v>35</v>
      </c>
    </row>
    <row r="331" ht="14.25" customHeight="1">
      <c r="H331" s="1" t="s">
        <v>35</v>
      </c>
      <c r="I331" s="1" t="s">
        <v>35</v>
      </c>
      <c r="J331" s="1" t="s">
        <v>35</v>
      </c>
    </row>
    <row r="332" ht="14.25" customHeight="1">
      <c r="H332" s="1" t="s">
        <v>35</v>
      </c>
      <c r="I332" s="1" t="s">
        <v>35</v>
      </c>
      <c r="J332" s="1" t="s">
        <v>35</v>
      </c>
    </row>
    <row r="333" ht="14.25" customHeight="1">
      <c r="H333" s="1" t="s">
        <v>35</v>
      </c>
      <c r="I333" s="1" t="s">
        <v>35</v>
      </c>
      <c r="J333" s="1" t="s">
        <v>35</v>
      </c>
    </row>
    <row r="334" ht="14.25" customHeight="1">
      <c r="H334" s="1" t="s">
        <v>35</v>
      </c>
      <c r="I334" s="1" t="s">
        <v>35</v>
      </c>
      <c r="J334" s="1" t="s">
        <v>35</v>
      </c>
    </row>
    <row r="335" ht="14.25" customHeight="1">
      <c r="H335" s="1" t="s">
        <v>35</v>
      </c>
      <c r="I335" s="1" t="s">
        <v>35</v>
      </c>
      <c r="J335" s="1" t="s">
        <v>35</v>
      </c>
    </row>
    <row r="336" ht="14.25" customHeight="1">
      <c r="H336" s="1" t="s">
        <v>35</v>
      </c>
      <c r="I336" s="1" t="s">
        <v>35</v>
      </c>
      <c r="J336" s="1" t="s">
        <v>35</v>
      </c>
    </row>
    <row r="337" ht="14.25" customHeight="1">
      <c r="H337" s="1" t="s">
        <v>35</v>
      </c>
      <c r="I337" s="1" t="s">
        <v>35</v>
      </c>
      <c r="J337" s="1" t="s">
        <v>35</v>
      </c>
    </row>
    <row r="338" ht="14.25" customHeight="1">
      <c r="H338" s="1" t="s">
        <v>35</v>
      </c>
      <c r="I338" s="1" t="s">
        <v>35</v>
      </c>
      <c r="J338" s="1" t="s">
        <v>35</v>
      </c>
    </row>
    <row r="339" ht="14.25" customHeight="1">
      <c r="H339" s="1" t="s">
        <v>35</v>
      </c>
      <c r="I339" s="1" t="s">
        <v>35</v>
      </c>
      <c r="J339" s="1" t="s">
        <v>35</v>
      </c>
    </row>
    <row r="340" ht="14.25" customHeight="1">
      <c r="H340" s="1" t="s">
        <v>35</v>
      </c>
      <c r="I340" s="1" t="s">
        <v>35</v>
      </c>
      <c r="J340" s="1" t="s">
        <v>35</v>
      </c>
    </row>
    <row r="341" ht="14.25" customHeight="1">
      <c r="H341" s="1" t="s">
        <v>35</v>
      </c>
      <c r="I341" s="1" t="s">
        <v>35</v>
      </c>
      <c r="J341" s="1" t="s">
        <v>35</v>
      </c>
    </row>
    <row r="342" ht="14.25" customHeight="1">
      <c r="H342" s="1" t="s">
        <v>35</v>
      </c>
      <c r="I342" s="1" t="s">
        <v>35</v>
      </c>
      <c r="J342" s="1" t="s">
        <v>35</v>
      </c>
    </row>
    <row r="343" ht="14.25" customHeight="1">
      <c r="H343" s="1" t="s">
        <v>35</v>
      </c>
      <c r="I343" s="1" t="s">
        <v>35</v>
      </c>
      <c r="J343" s="1" t="s">
        <v>35</v>
      </c>
    </row>
    <row r="344" ht="14.25" customHeight="1">
      <c r="H344" s="1" t="s">
        <v>35</v>
      </c>
      <c r="I344" s="1" t="s">
        <v>35</v>
      </c>
      <c r="J344" s="1" t="s">
        <v>35</v>
      </c>
    </row>
    <row r="345" ht="14.25" customHeight="1">
      <c r="H345" s="1" t="s">
        <v>35</v>
      </c>
      <c r="I345" s="1" t="s">
        <v>35</v>
      </c>
      <c r="J345" s="1" t="s">
        <v>35</v>
      </c>
    </row>
    <row r="346" ht="14.25" customHeight="1">
      <c r="H346" s="1" t="s">
        <v>35</v>
      </c>
      <c r="I346" s="1" t="s">
        <v>35</v>
      </c>
      <c r="J346" s="1" t="s">
        <v>35</v>
      </c>
    </row>
    <row r="347" ht="14.25" customHeight="1">
      <c r="H347" s="1" t="s">
        <v>35</v>
      </c>
      <c r="I347" s="1" t="s">
        <v>35</v>
      </c>
      <c r="J347" s="1" t="s">
        <v>35</v>
      </c>
    </row>
    <row r="348" ht="14.25" customHeight="1">
      <c r="H348" s="1" t="s">
        <v>35</v>
      </c>
      <c r="I348" s="1" t="s">
        <v>35</v>
      </c>
      <c r="J348" s="1" t="s">
        <v>35</v>
      </c>
    </row>
    <row r="349" ht="14.25" customHeight="1">
      <c r="H349" s="1" t="s">
        <v>35</v>
      </c>
      <c r="I349" s="1" t="s">
        <v>35</v>
      </c>
      <c r="J349" s="1" t="s">
        <v>35</v>
      </c>
    </row>
    <row r="350" ht="14.25" customHeight="1">
      <c r="H350" s="1" t="s">
        <v>35</v>
      </c>
      <c r="I350" s="1" t="s">
        <v>35</v>
      </c>
      <c r="J350" s="1" t="s">
        <v>35</v>
      </c>
    </row>
    <row r="351" ht="14.25" customHeight="1">
      <c r="H351" s="1" t="s">
        <v>35</v>
      </c>
      <c r="I351" s="1" t="s">
        <v>35</v>
      </c>
      <c r="J351" s="1" t="s">
        <v>35</v>
      </c>
    </row>
    <row r="352" ht="14.25" customHeight="1">
      <c r="H352" s="1" t="s">
        <v>35</v>
      </c>
      <c r="I352" s="1" t="s">
        <v>35</v>
      </c>
      <c r="J352" s="1" t="s">
        <v>35</v>
      </c>
    </row>
    <row r="353" ht="14.25" customHeight="1">
      <c r="H353" s="1" t="s">
        <v>35</v>
      </c>
      <c r="I353" s="1" t="s">
        <v>35</v>
      </c>
      <c r="J353" s="1" t="s">
        <v>35</v>
      </c>
    </row>
    <row r="354" ht="14.25" customHeight="1">
      <c r="H354" s="1" t="s">
        <v>35</v>
      </c>
      <c r="I354" s="1" t="s">
        <v>35</v>
      </c>
      <c r="J354" s="1" t="s">
        <v>35</v>
      </c>
    </row>
    <row r="355" ht="14.25" customHeight="1">
      <c r="H355" s="1" t="s">
        <v>35</v>
      </c>
      <c r="I355" s="1" t="s">
        <v>35</v>
      </c>
      <c r="J355" s="1" t="s">
        <v>35</v>
      </c>
    </row>
    <row r="356" ht="14.25" customHeight="1">
      <c r="H356" s="1" t="s">
        <v>35</v>
      </c>
      <c r="I356" s="1" t="s">
        <v>35</v>
      </c>
      <c r="J356" s="1" t="s">
        <v>35</v>
      </c>
    </row>
    <row r="357" ht="14.25" customHeight="1">
      <c r="H357" s="1" t="s">
        <v>35</v>
      </c>
      <c r="I357" s="1" t="s">
        <v>35</v>
      </c>
      <c r="J357" s="1" t="s">
        <v>35</v>
      </c>
    </row>
    <row r="358" ht="14.25" customHeight="1">
      <c r="H358" s="1" t="s">
        <v>35</v>
      </c>
      <c r="I358" s="1" t="s">
        <v>35</v>
      </c>
      <c r="J358" s="1" t="s">
        <v>35</v>
      </c>
    </row>
    <row r="359" ht="14.25" customHeight="1">
      <c r="H359" s="1" t="s">
        <v>35</v>
      </c>
      <c r="I359" s="1" t="s">
        <v>35</v>
      </c>
      <c r="J359" s="1" t="s">
        <v>35</v>
      </c>
    </row>
    <row r="360" ht="14.25" customHeight="1">
      <c r="H360" s="1" t="s">
        <v>35</v>
      </c>
      <c r="I360" s="1" t="s">
        <v>35</v>
      </c>
      <c r="J360" s="1" t="s">
        <v>35</v>
      </c>
    </row>
    <row r="361" ht="14.25" customHeight="1">
      <c r="H361" s="1" t="s">
        <v>35</v>
      </c>
      <c r="I361" s="1" t="s">
        <v>35</v>
      </c>
      <c r="J361" s="1" t="s">
        <v>35</v>
      </c>
    </row>
    <row r="362" ht="14.25" customHeight="1">
      <c r="H362" s="1" t="s">
        <v>35</v>
      </c>
      <c r="I362" s="1" t="s">
        <v>35</v>
      </c>
      <c r="J362" s="1" t="s">
        <v>35</v>
      </c>
    </row>
    <row r="363" ht="14.25" customHeight="1">
      <c r="H363" s="1" t="s">
        <v>35</v>
      </c>
      <c r="I363" s="1" t="s">
        <v>35</v>
      </c>
      <c r="J363" s="1" t="s">
        <v>35</v>
      </c>
    </row>
    <row r="364" ht="14.25" customHeight="1">
      <c r="H364" s="1" t="s">
        <v>35</v>
      </c>
      <c r="I364" s="1" t="s">
        <v>35</v>
      </c>
      <c r="J364" s="1" t="s">
        <v>35</v>
      </c>
    </row>
    <row r="365" ht="14.25" customHeight="1">
      <c r="H365" s="1" t="s">
        <v>35</v>
      </c>
      <c r="I365" s="1" t="s">
        <v>35</v>
      </c>
      <c r="J365" s="1" t="s">
        <v>35</v>
      </c>
    </row>
    <row r="366" ht="14.25" customHeight="1">
      <c r="H366" s="1" t="s">
        <v>35</v>
      </c>
      <c r="I366" s="1" t="s">
        <v>35</v>
      </c>
      <c r="J366" s="1" t="s">
        <v>35</v>
      </c>
    </row>
    <row r="367" ht="14.25" customHeight="1">
      <c r="H367" s="1" t="s">
        <v>35</v>
      </c>
      <c r="I367" s="1" t="s">
        <v>35</v>
      </c>
      <c r="J367" s="1" t="s">
        <v>35</v>
      </c>
    </row>
    <row r="368" ht="14.25" customHeight="1">
      <c r="H368" s="1" t="s">
        <v>35</v>
      </c>
      <c r="I368" s="1" t="s">
        <v>35</v>
      </c>
      <c r="J368" s="1" t="s">
        <v>35</v>
      </c>
    </row>
    <row r="369" ht="14.25" customHeight="1">
      <c r="H369" s="1" t="s">
        <v>35</v>
      </c>
      <c r="I369" s="1" t="s">
        <v>35</v>
      </c>
      <c r="J369" s="1" t="s">
        <v>35</v>
      </c>
    </row>
    <row r="370" ht="14.25" customHeight="1">
      <c r="H370" s="1" t="s">
        <v>35</v>
      </c>
      <c r="I370" s="1" t="s">
        <v>35</v>
      </c>
      <c r="J370" s="1" t="s">
        <v>35</v>
      </c>
    </row>
    <row r="371" ht="14.25" customHeight="1">
      <c r="H371" s="1" t="s">
        <v>35</v>
      </c>
      <c r="I371" s="1" t="s">
        <v>35</v>
      </c>
      <c r="J371" s="1" t="s">
        <v>35</v>
      </c>
    </row>
    <row r="372" ht="14.25" customHeight="1">
      <c r="H372" s="1" t="s">
        <v>35</v>
      </c>
      <c r="I372" s="1" t="s">
        <v>35</v>
      </c>
      <c r="J372" s="1" t="s">
        <v>35</v>
      </c>
    </row>
    <row r="373" ht="14.25" customHeight="1">
      <c r="H373" s="1" t="s">
        <v>35</v>
      </c>
      <c r="I373" s="1" t="s">
        <v>35</v>
      </c>
      <c r="J373" s="1" t="s">
        <v>35</v>
      </c>
    </row>
    <row r="374" ht="14.25" customHeight="1">
      <c r="H374" s="1" t="s">
        <v>35</v>
      </c>
      <c r="I374" s="1" t="s">
        <v>35</v>
      </c>
      <c r="J374" s="1" t="s">
        <v>35</v>
      </c>
    </row>
    <row r="375" ht="14.25" customHeight="1">
      <c r="H375" s="1" t="s">
        <v>35</v>
      </c>
      <c r="I375" s="1" t="s">
        <v>35</v>
      </c>
      <c r="J375" s="1" t="s">
        <v>35</v>
      </c>
    </row>
    <row r="376" ht="14.25" customHeight="1">
      <c r="H376" s="1" t="s">
        <v>35</v>
      </c>
      <c r="I376" s="1" t="s">
        <v>35</v>
      </c>
      <c r="J376" s="1" t="s">
        <v>35</v>
      </c>
    </row>
    <row r="377" ht="14.25" customHeight="1">
      <c r="H377" s="1" t="s">
        <v>35</v>
      </c>
      <c r="I377" s="1" t="s">
        <v>35</v>
      </c>
      <c r="J377" s="1" t="s">
        <v>35</v>
      </c>
    </row>
    <row r="378" ht="14.25" customHeight="1">
      <c r="H378" s="1" t="s">
        <v>35</v>
      </c>
      <c r="I378" s="1" t="s">
        <v>35</v>
      </c>
      <c r="J378" s="1" t="s">
        <v>35</v>
      </c>
    </row>
    <row r="379" ht="14.25" customHeight="1">
      <c r="H379" s="1" t="s">
        <v>35</v>
      </c>
      <c r="I379" s="1" t="s">
        <v>35</v>
      </c>
      <c r="J379" s="1" t="s">
        <v>35</v>
      </c>
    </row>
    <row r="380" ht="14.25" customHeight="1">
      <c r="H380" s="1" t="s">
        <v>35</v>
      </c>
      <c r="I380" s="1" t="s">
        <v>35</v>
      </c>
      <c r="J380" s="1" t="s">
        <v>35</v>
      </c>
    </row>
    <row r="381" ht="14.25" customHeight="1">
      <c r="H381" s="1" t="s">
        <v>35</v>
      </c>
      <c r="I381" s="1" t="s">
        <v>35</v>
      </c>
      <c r="J381" s="1" t="s">
        <v>35</v>
      </c>
    </row>
    <row r="382" ht="14.25" customHeight="1">
      <c r="H382" s="1" t="s">
        <v>35</v>
      </c>
      <c r="I382" s="1" t="s">
        <v>35</v>
      </c>
      <c r="J382" s="1" t="s">
        <v>35</v>
      </c>
    </row>
    <row r="383" ht="14.25" customHeight="1">
      <c r="H383" s="1" t="s">
        <v>35</v>
      </c>
      <c r="I383" s="1" t="s">
        <v>35</v>
      </c>
      <c r="J383" s="1" t="s">
        <v>35</v>
      </c>
    </row>
    <row r="384" ht="14.25" customHeight="1">
      <c r="H384" s="1" t="s">
        <v>35</v>
      </c>
      <c r="I384" s="1" t="s">
        <v>35</v>
      </c>
      <c r="J384" s="1" t="s">
        <v>35</v>
      </c>
    </row>
    <row r="385" ht="14.25" customHeight="1">
      <c r="H385" s="1" t="s">
        <v>35</v>
      </c>
      <c r="I385" s="1" t="s">
        <v>35</v>
      </c>
      <c r="J385" s="1" t="s">
        <v>35</v>
      </c>
    </row>
    <row r="386" ht="14.25" customHeight="1">
      <c r="H386" s="1" t="s">
        <v>35</v>
      </c>
      <c r="I386" s="1" t="s">
        <v>35</v>
      </c>
      <c r="J386" s="1" t="s">
        <v>35</v>
      </c>
    </row>
    <row r="387" ht="14.25" customHeight="1">
      <c r="H387" s="1" t="s">
        <v>35</v>
      </c>
      <c r="I387" s="1" t="s">
        <v>35</v>
      </c>
      <c r="J387" s="1" t="s">
        <v>35</v>
      </c>
    </row>
    <row r="388" ht="14.25" customHeight="1">
      <c r="H388" s="1" t="s">
        <v>35</v>
      </c>
      <c r="I388" s="1" t="s">
        <v>35</v>
      </c>
      <c r="J388" s="1" t="s">
        <v>35</v>
      </c>
    </row>
    <row r="389" ht="14.25" customHeight="1">
      <c r="H389" s="1" t="s">
        <v>35</v>
      </c>
      <c r="I389" s="1" t="s">
        <v>35</v>
      </c>
      <c r="J389" s="1" t="s">
        <v>35</v>
      </c>
    </row>
    <row r="390" ht="14.25" customHeight="1">
      <c r="H390" s="1" t="s">
        <v>35</v>
      </c>
      <c r="I390" s="1" t="s">
        <v>35</v>
      </c>
      <c r="J390" s="1" t="s">
        <v>35</v>
      </c>
    </row>
    <row r="391" ht="14.25" customHeight="1">
      <c r="H391" s="1" t="s">
        <v>35</v>
      </c>
      <c r="I391" s="1" t="s">
        <v>35</v>
      </c>
      <c r="J391" s="1" t="s">
        <v>35</v>
      </c>
    </row>
    <row r="392" ht="14.25" customHeight="1">
      <c r="H392" s="1" t="s">
        <v>35</v>
      </c>
      <c r="I392" s="1" t="s">
        <v>35</v>
      </c>
      <c r="J392" s="1" t="s">
        <v>35</v>
      </c>
    </row>
    <row r="393" ht="14.25" customHeight="1">
      <c r="H393" s="1" t="s">
        <v>35</v>
      </c>
      <c r="I393" s="1" t="s">
        <v>35</v>
      </c>
      <c r="J393" s="1" t="s">
        <v>35</v>
      </c>
    </row>
    <row r="394" ht="14.25" customHeight="1">
      <c r="H394" s="1" t="s">
        <v>35</v>
      </c>
      <c r="I394" s="1" t="s">
        <v>35</v>
      </c>
      <c r="J394" s="1" t="s">
        <v>35</v>
      </c>
    </row>
    <row r="395" ht="14.25" customHeight="1">
      <c r="H395" s="1" t="s">
        <v>35</v>
      </c>
      <c r="I395" s="1" t="s">
        <v>35</v>
      </c>
      <c r="J395" s="1" t="s">
        <v>35</v>
      </c>
    </row>
    <row r="396" ht="14.25" customHeight="1">
      <c r="H396" s="1" t="s">
        <v>35</v>
      </c>
      <c r="I396" s="1" t="s">
        <v>35</v>
      </c>
      <c r="J396" s="1" t="s">
        <v>35</v>
      </c>
    </row>
    <row r="397" ht="14.25" customHeight="1">
      <c r="H397" s="1" t="s">
        <v>35</v>
      </c>
      <c r="I397" s="1" t="s">
        <v>35</v>
      </c>
      <c r="J397" s="1" t="s">
        <v>35</v>
      </c>
    </row>
    <row r="398" ht="14.25" customHeight="1">
      <c r="H398" s="1" t="s">
        <v>35</v>
      </c>
      <c r="I398" s="1" t="s">
        <v>35</v>
      </c>
      <c r="J398" s="1" t="s">
        <v>35</v>
      </c>
    </row>
    <row r="399" ht="14.25" customHeight="1">
      <c r="H399" s="1" t="s">
        <v>35</v>
      </c>
      <c r="I399" s="1" t="s">
        <v>35</v>
      </c>
      <c r="J399" s="1" t="s">
        <v>35</v>
      </c>
    </row>
    <row r="400" ht="14.25" customHeight="1">
      <c r="H400" s="1" t="s">
        <v>35</v>
      </c>
      <c r="I400" s="1" t="s">
        <v>35</v>
      </c>
      <c r="J400" s="1" t="s">
        <v>35</v>
      </c>
    </row>
    <row r="401" ht="14.25" customHeight="1">
      <c r="H401" s="1" t="s">
        <v>35</v>
      </c>
      <c r="I401" s="1" t="s">
        <v>35</v>
      </c>
      <c r="J401" s="1" t="s">
        <v>35</v>
      </c>
    </row>
    <row r="402" ht="14.25" customHeight="1">
      <c r="H402" s="1" t="s">
        <v>35</v>
      </c>
      <c r="I402" s="1" t="s">
        <v>35</v>
      </c>
      <c r="J402" s="1" t="s">
        <v>35</v>
      </c>
    </row>
    <row r="403" ht="14.25" customHeight="1">
      <c r="H403" s="1" t="s">
        <v>35</v>
      </c>
      <c r="I403" s="1" t="s">
        <v>35</v>
      </c>
      <c r="J403" s="1" t="s">
        <v>35</v>
      </c>
    </row>
    <row r="404" ht="14.25" customHeight="1">
      <c r="H404" s="1" t="s">
        <v>35</v>
      </c>
      <c r="I404" s="1" t="s">
        <v>35</v>
      </c>
      <c r="J404" s="1" t="s">
        <v>35</v>
      </c>
    </row>
    <row r="405" ht="14.25" customHeight="1">
      <c r="H405" s="1" t="s">
        <v>35</v>
      </c>
      <c r="I405" s="1" t="s">
        <v>35</v>
      </c>
      <c r="J405" s="1" t="s">
        <v>35</v>
      </c>
    </row>
    <row r="406" ht="14.25" customHeight="1">
      <c r="H406" s="1" t="s">
        <v>35</v>
      </c>
      <c r="I406" s="1" t="s">
        <v>35</v>
      </c>
      <c r="J406" s="1" t="s">
        <v>35</v>
      </c>
    </row>
    <row r="407" ht="14.25" customHeight="1">
      <c r="H407" s="1" t="s">
        <v>35</v>
      </c>
      <c r="I407" s="1" t="s">
        <v>35</v>
      </c>
      <c r="J407" s="1" t="s">
        <v>35</v>
      </c>
    </row>
    <row r="408" ht="14.25" customHeight="1">
      <c r="H408" s="1" t="s">
        <v>35</v>
      </c>
      <c r="I408" s="1" t="s">
        <v>35</v>
      </c>
      <c r="J408" s="1" t="s">
        <v>35</v>
      </c>
    </row>
    <row r="409" ht="14.25" customHeight="1">
      <c r="H409" s="1" t="s">
        <v>35</v>
      </c>
      <c r="I409" s="1" t="s">
        <v>35</v>
      </c>
      <c r="J409" s="1" t="s">
        <v>35</v>
      </c>
    </row>
    <row r="410" ht="14.25" customHeight="1">
      <c r="H410" s="1" t="s">
        <v>35</v>
      </c>
      <c r="I410" s="1" t="s">
        <v>35</v>
      </c>
      <c r="J410" s="1" t="s">
        <v>35</v>
      </c>
    </row>
    <row r="411" ht="14.25" customHeight="1">
      <c r="H411" s="1" t="s">
        <v>35</v>
      </c>
      <c r="I411" s="1" t="s">
        <v>35</v>
      </c>
      <c r="J411" s="1" t="s">
        <v>35</v>
      </c>
    </row>
    <row r="412" ht="14.25" customHeight="1">
      <c r="H412" s="1" t="s">
        <v>35</v>
      </c>
      <c r="I412" s="1" t="s">
        <v>35</v>
      </c>
      <c r="J412" s="1" t="s">
        <v>35</v>
      </c>
    </row>
    <row r="413" ht="14.25" customHeight="1">
      <c r="H413" s="1" t="s">
        <v>35</v>
      </c>
      <c r="I413" s="1" t="s">
        <v>35</v>
      </c>
      <c r="J413" s="1" t="s">
        <v>35</v>
      </c>
    </row>
    <row r="414" ht="14.25" customHeight="1">
      <c r="H414" s="1" t="s">
        <v>35</v>
      </c>
      <c r="I414" s="1" t="s">
        <v>35</v>
      </c>
      <c r="J414" s="1" t="s">
        <v>35</v>
      </c>
    </row>
    <row r="415" ht="14.25" customHeight="1">
      <c r="H415" s="1" t="s">
        <v>35</v>
      </c>
      <c r="I415" s="1" t="s">
        <v>35</v>
      </c>
      <c r="J415" s="1" t="s">
        <v>35</v>
      </c>
    </row>
    <row r="416" ht="14.25" customHeight="1">
      <c r="H416" s="1" t="s">
        <v>35</v>
      </c>
      <c r="I416" s="1" t="s">
        <v>35</v>
      </c>
      <c r="J416" s="1" t="s">
        <v>35</v>
      </c>
    </row>
    <row r="417" ht="14.25" customHeight="1">
      <c r="H417" s="1" t="s">
        <v>35</v>
      </c>
      <c r="I417" s="1" t="s">
        <v>35</v>
      </c>
      <c r="J417" s="1" t="s">
        <v>35</v>
      </c>
    </row>
    <row r="418" ht="14.25" customHeight="1">
      <c r="H418" s="1" t="s">
        <v>35</v>
      </c>
      <c r="I418" s="1" t="s">
        <v>35</v>
      </c>
      <c r="J418" s="1" t="s">
        <v>35</v>
      </c>
    </row>
    <row r="419" ht="14.25" customHeight="1">
      <c r="H419" s="1" t="s">
        <v>35</v>
      </c>
      <c r="I419" s="1" t="s">
        <v>35</v>
      </c>
      <c r="J419" s="1" t="s">
        <v>35</v>
      </c>
    </row>
    <row r="420" ht="14.25" customHeight="1">
      <c r="H420" s="1" t="s">
        <v>35</v>
      </c>
      <c r="I420" s="1" t="s">
        <v>35</v>
      </c>
      <c r="J420" s="1" t="s">
        <v>35</v>
      </c>
    </row>
    <row r="421" ht="14.25" customHeight="1">
      <c r="H421" s="1" t="s">
        <v>35</v>
      </c>
      <c r="I421" s="1" t="s">
        <v>35</v>
      </c>
      <c r="J421" s="1" t="s">
        <v>35</v>
      </c>
    </row>
    <row r="422" ht="14.25" customHeight="1">
      <c r="H422" s="1" t="s">
        <v>35</v>
      </c>
      <c r="I422" s="1" t="s">
        <v>35</v>
      </c>
      <c r="J422" s="1" t="s">
        <v>35</v>
      </c>
    </row>
    <row r="423" ht="14.25" customHeight="1">
      <c r="H423" s="1" t="s">
        <v>35</v>
      </c>
      <c r="I423" s="1" t="s">
        <v>35</v>
      </c>
      <c r="J423" s="1" t="s">
        <v>35</v>
      </c>
    </row>
    <row r="424" ht="14.25" customHeight="1">
      <c r="H424" s="1" t="s">
        <v>35</v>
      </c>
      <c r="I424" s="1" t="s">
        <v>35</v>
      </c>
      <c r="J424" s="1" t="s">
        <v>35</v>
      </c>
    </row>
    <row r="425" ht="14.25" customHeight="1">
      <c r="H425" s="1" t="s">
        <v>35</v>
      </c>
      <c r="I425" s="1" t="s">
        <v>35</v>
      </c>
      <c r="J425" s="1" t="s">
        <v>35</v>
      </c>
    </row>
    <row r="426" ht="14.25" customHeight="1">
      <c r="H426" s="1" t="s">
        <v>35</v>
      </c>
      <c r="I426" s="1" t="s">
        <v>35</v>
      </c>
      <c r="J426" s="1" t="s">
        <v>35</v>
      </c>
    </row>
    <row r="427" ht="14.25" customHeight="1">
      <c r="H427" s="1" t="s">
        <v>35</v>
      </c>
      <c r="I427" s="1" t="s">
        <v>35</v>
      </c>
      <c r="J427" s="1" t="s">
        <v>35</v>
      </c>
    </row>
    <row r="428" ht="14.25" customHeight="1">
      <c r="H428" s="1" t="s">
        <v>35</v>
      </c>
      <c r="I428" s="1" t="s">
        <v>35</v>
      </c>
      <c r="J428" s="1" t="s">
        <v>35</v>
      </c>
    </row>
    <row r="429" ht="14.25" customHeight="1">
      <c r="H429" s="1" t="s">
        <v>35</v>
      </c>
      <c r="I429" s="1" t="s">
        <v>35</v>
      </c>
      <c r="J429" s="1" t="s">
        <v>35</v>
      </c>
    </row>
    <row r="430" ht="14.25" customHeight="1">
      <c r="H430" s="1" t="s">
        <v>35</v>
      </c>
      <c r="I430" s="1" t="s">
        <v>35</v>
      </c>
      <c r="J430" s="1" t="s">
        <v>35</v>
      </c>
    </row>
    <row r="431" ht="14.25" customHeight="1">
      <c r="H431" s="1" t="s">
        <v>35</v>
      </c>
      <c r="I431" s="1" t="s">
        <v>35</v>
      </c>
      <c r="J431" s="1" t="s">
        <v>35</v>
      </c>
    </row>
    <row r="432" ht="14.25" customHeight="1">
      <c r="H432" s="1" t="s">
        <v>35</v>
      </c>
      <c r="I432" s="1" t="s">
        <v>35</v>
      </c>
      <c r="J432" s="1" t="s">
        <v>35</v>
      </c>
    </row>
    <row r="433" ht="14.25" customHeight="1">
      <c r="H433" s="1" t="s">
        <v>35</v>
      </c>
      <c r="I433" s="1" t="s">
        <v>35</v>
      </c>
      <c r="J433" s="1" t="s">
        <v>35</v>
      </c>
    </row>
    <row r="434" ht="14.25" customHeight="1">
      <c r="H434" s="1" t="s">
        <v>35</v>
      </c>
      <c r="I434" s="1" t="s">
        <v>35</v>
      </c>
      <c r="J434" s="1" t="s">
        <v>35</v>
      </c>
    </row>
    <row r="435" ht="14.25" customHeight="1">
      <c r="H435" s="1" t="s">
        <v>35</v>
      </c>
      <c r="I435" s="1" t="s">
        <v>35</v>
      </c>
      <c r="J435" s="1" t="s">
        <v>35</v>
      </c>
    </row>
    <row r="436" ht="14.25" customHeight="1">
      <c r="H436" s="1" t="s">
        <v>35</v>
      </c>
      <c r="I436" s="1" t="s">
        <v>35</v>
      </c>
      <c r="J436" s="1" t="s">
        <v>35</v>
      </c>
    </row>
    <row r="437" ht="14.25" customHeight="1">
      <c r="H437" s="1" t="s">
        <v>35</v>
      </c>
      <c r="I437" s="1" t="s">
        <v>35</v>
      </c>
      <c r="J437" s="1" t="s">
        <v>35</v>
      </c>
    </row>
    <row r="438" ht="14.25" customHeight="1">
      <c r="H438" s="1" t="s">
        <v>35</v>
      </c>
      <c r="I438" s="1" t="s">
        <v>35</v>
      </c>
      <c r="J438" s="1" t="s">
        <v>35</v>
      </c>
    </row>
    <row r="439" ht="14.25" customHeight="1">
      <c r="H439" s="1" t="s">
        <v>35</v>
      </c>
      <c r="I439" s="1" t="s">
        <v>35</v>
      </c>
      <c r="J439" s="1" t="s">
        <v>35</v>
      </c>
    </row>
    <row r="440" ht="14.25" customHeight="1">
      <c r="H440" s="1" t="s">
        <v>35</v>
      </c>
      <c r="I440" s="1" t="s">
        <v>35</v>
      </c>
      <c r="J440" s="1" t="s">
        <v>35</v>
      </c>
    </row>
    <row r="441" ht="14.25" customHeight="1">
      <c r="H441" s="1" t="s">
        <v>35</v>
      </c>
      <c r="I441" s="1" t="s">
        <v>35</v>
      </c>
      <c r="J441" s="1" t="s">
        <v>35</v>
      </c>
    </row>
    <row r="442" ht="14.25" customHeight="1">
      <c r="H442" s="1" t="s">
        <v>35</v>
      </c>
      <c r="I442" s="1" t="s">
        <v>35</v>
      </c>
      <c r="J442" s="1" t="s">
        <v>35</v>
      </c>
    </row>
    <row r="443" ht="14.25" customHeight="1">
      <c r="H443" s="1" t="s">
        <v>35</v>
      </c>
      <c r="I443" s="1" t="s">
        <v>35</v>
      </c>
      <c r="J443" s="1" t="s">
        <v>35</v>
      </c>
    </row>
    <row r="444" ht="14.25" customHeight="1">
      <c r="H444" s="1" t="s">
        <v>35</v>
      </c>
      <c r="I444" s="1" t="s">
        <v>35</v>
      </c>
      <c r="J444" s="1" t="s">
        <v>35</v>
      </c>
    </row>
    <row r="445" ht="14.25" customHeight="1">
      <c r="H445" s="1" t="s">
        <v>35</v>
      </c>
      <c r="I445" s="1" t="s">
        <v>35</v>
      </c>
      <c r="J445" s="1" t="s">
        <v>35</v>
      </c>
    </row>
    <row r="446" ht="14.25" customHeight="1">
      <c r="H446" s="1" t="s">
        <v>35</v>
      </c>
      <c r="I446" s="1" t="s">
        <v>35</v>
      </c>
      <c r="J446" s="1" t="s">
        <v>35</v>
      </c>
    </row>
    <row r="447" ht="14.25" customHeight="1">
      <c r="H447" s="1" t="s">
        <v>35</v>
      </c>
      <c r="I447" s="1" t="s">
        <v>35</v>
      </c>
      <c r="J447" s="1" t="s">
        <v>35</v>
      </c>
    </row>
    <row r="448" ht="14.25" customHeight="1">
      <c r="H448" s="1" t="s">
        <v>35</v>
      </c>
      <c r="I448" s="1" t="s">
        <v>35</v>
      </c>
      <c r="J448" s="1" t="s">
        <v>35</v>
      </c>
    </row>
    <row r="449" ht="14.25" customHeight="1">
      <c r="H449" s="1" t="s">
        <v>35</v>
      </c>
      <c r="I449" s="1" t="s">
        <v>35</v>
      </c>
      <c r="J449" s="1" t="s">
        <v>35</v>
      </c>
    </row>
    <row r="450" ht="14.25" customHeight="1">
      <c r="H450" s="1" t="s">
        <v>35</v>
      </c>
      <c r="I450" s="1" t="s">
        <v>35</v>
      </c>
      <c r="J450" s="1" t="s">
        <v>35</v>
      </c>
    </row>
    <row r="451" ht="14.25" customHeight="1">
      <c r="H451" s="1" t="s">
        <v>35</v>
      </c>
      <c r="I451" s="1" t="s">
        <v>35</v>
      </c>
      <c r="J451" s="1" t="s">
        <v>35</v>
      </c>
    </row>
    <row r="452" ht="14.25" customHeight="1">
      <c r="H452" s="1" t="s">
        <v>35</v>
      </c>
      <c r="I452" s="1" t="s">
        <v>35</v>
      </c>
      <c r="J452" s="1" t="s">
        <v>35</v>
      </c>
    </row>
    <row r="453" ht="14.25" customHeight="1">
      <c r="H453" s="1" t="s">
        <v>35</v>
      </c>
      <c r="I453" s="1" t="s">
        <v>35</v>
      </c>
      <c r="J453" s="1" t="s">
        <v>35</v>
      </c>
    </row>
    <row r="454" ht="14.25" customHeight="1">
      <c r="H454" s="1" t="s">
        <v>35</v>
      </c>
      <c r="I454" s="1" t="s">
        <v>35</v>
      </c>
      <c r="J454" s="1" t="s">
        <v>35</v>
      </c>
    </row>
    <row r="455" ht="14.25" customHeight="1">
      <c r="H455" s="1" t="s">
        <v>35</v>
      </c>
      <c r="I455" s="1" t="s">
        <v>35</v>
      </c>
      <c r="J455" s="1" t="s">
        <v>35</v>
      </c>
    </row>
    <row r="456" ht="14.25" customHeight="1">
      <c r="H456" s="1" t="s">
        <v>35</v>
      </c>
      <c r="I456" s="1" t="s">
        <v>35</v>
      </c>
      <c r="J456" s="1" t="s">
        <v>35</v>
      </c>
    </row>
    <row r="457" ht="14.25" customHeight="1">
      <c r="H457" s="1" t="s">
        <v>35</v>
      </c>
      <c r="I457" s="1" t="s">
        <v>35</v>
      </c>
      <c r="J457" s="1" t="s">
        <v>35</v>
      </c>
    </row>
    <row r="458" ht="14.25" customHeight="1">
      <c r="H458" s="1" t="s">
        <v>35</v>
      </c>
      <c r="I458" s="1" t="s">
        <v>35</v>
      </c>
      <c r="J458" s="1" t="s">
        <v>35</v>
      </c>
    </row>
    <row r="459" ht="14.25" customHeight="1">
      <c r="H459" s="1" t="s">
        <v>35</v>
      </c>
      <c r="I459" s="1" t="s">
        <v>35</v>
      </c>
      <c r="J459" s="1" t="s">
        <v>35</v>
      </c>
    </row>
    <row r="460" ht="14.25" customHeight="1">
      <c r="H460" s="1" t="s">
        <v>35</v>
      </c>
      <c r="I460" s="1" t="s">
        <v>35</v>
      </c>
      <c r="J460" s="1" t="s">
        <v>35</v>
      </c>
    </row>
    <row r="461" ht="14.25" customHeight="1">
      <c r="H461" s="1" t="s">
        <v>35</v>
      </c>
      <c r="I461" s="1" t="s">
        <v>35</v>
      </c>
      <c r="J461" s="1" t="s">
        <v>35</v>
      </c>
    </row>
    <row r="462" ht="14.25" customHeight="1">
      <c r="H462" s="1" t="s">
        <v>35</v>
      </c>
      <c r="I462" s="1" t="s">
        <v>35</v>
      </c>
      <c r="J462" s="1" t="s">
        <v>35</v>
      </c>
    </row>
    <row r="463" ht="14.25" customHeight="1">
      <c r="H463" s="1" t="s">
        <v>35</v>
      </c>
      <c r="I463" s="1" t="s">
        <v>35</v>
      </c>
      <c r="J463" s="1" t="s">
        <v>35</v>
      </c>
    </row>
    <row r="464" ht="14.25" customHeight="1">
      <c r="H464" s="1" t="s">
        <v>35</v>
      </c>
      <c r="I464" s="1" t="s">
        <v>35</v>
      </c>
      <c r="J464" s="1" t="s">
        <v>35</v>
      </c>
    </row>
    <row r="465" ht="14.25" customHeight="1">
      <c r="H465" s="1" t="s">
        <v>35</v>
      </c>
      <c r="I465" s="1" t="s">
        <v>35</v>
      </c>
      <c r="J465" s="1" t="s">
        <v>35</v>
      </c>
    </row>
    <row r="466" ht="14.25" customHeight="1">
      <c r="H466" s="1" t="s">
        <v>35</v>
      </c>
      <c r="I466" s="1" t="s">
        <v>35</v>
      </c>
      <c r="J466" s="1" t="s">
        <v>35</v>
      </c>
    </row>
    <row r="467" ht="14.25" customHeight="1">
      <c r="H467" s="1" t="s">
        <v>35</v>
      </c>
      <c r="I467" s="1" t="s">
        <v>35</v>
      </c>
      <c r="J467" s="1" t="s">
        <v>35</v>
      </c>
    </row>
    <row r="468" ht="14.25" customHeight="1">
      <c r="H468" s="1" t="s">
        <v>35</v>
      </c>
      <c r="I468" s="1" t="s">
        <v>35</v>
      </c>
      <c r="J468" s="1" t="s">
        <v>35</v>
      </c>
    </row>
    <row r="469" ht="14.25" customHeight="1">
      <c r="H469" s="1" t="s">
        <v>35</v>
      </c>
      <c r="I469" s="1" t="s">
        <v>35</v>
      </c>
      <c r="J469" s="1" t="s">
        <v>35</v>
      </c>
    </row>
    <row r="470" ht="14.25" customHeight="1">
      <c r="H470" s="1" t="s">
        <v>35</v>
      </c>
      <c r="I470" s="1" t="s">
        <v>35</v>
      </c>
      <c r="J470" s="1" t="s">
        <v>35</v>
      </c>
    </row>
    <row r="471" ht="14.25" customHeight="1">
      <c r="H471" s="1" t="s">
        <v>35</v>
      </c>
      <c r="I471" s="1" t="s">
        <v>35</v>
      </c>
      <c r="J471" s="1" t="s">
        <v>35</v>
      </c>
    </row>
    <row r="472" ht="14.25" customHeight="1">
      <c r="H472" s="1" t="s">
        <v>35</v>
      </c>
      <c r="I472" s="1" t="s">
        <v>35</v>
      </c>
      <c r="J472" s="1" t="s">
        <v>35</v>
      </c>
    </row>
    <row r="473" ht="14.25" customHeight="1">
      <c r="H473" s="1" t="s">
        <v>35</v>
      </c>
      <c r="I473" s="1" t="s">
        <v>35</v>
      </c>
      <c r="J473" s="1" t="s">
        <v>35</v>
      </c>
    </row>
    <row r="474" ht="14.25" customHeight="1">
      <c r="H474" s="1" t="s">
        <v>35</v>
      </c>
      <c r="I474" s="1" t="s">
        <v>35</v>
      </c>
      <c r="J474" s="1" t="s">
        <v>35</v>
      </c>
    </row>
    <row r="475" ht="14.25" customHeight="1">
      <c r="H475" s="1" t="s">
        <v>35</v>
      </c>
      <c r="I475" s="1" t="s">
        <v>35</v>
      </c>
      <c r="J475" s="1" t="s">
        <v>35</v>
      </c>
    </row>
    <row r="476" ht="14.25" customHeight="1">
      <c r="H476" s="1" t="s">
        <v>35</v>
      </c>
      <c r="I476" s="1" t="s">
        <v>35</v>
      </c>
      <c r="J476" s="1" t="s">
        <v>35</v>
      </c>
    </row>
    <row r="477" ht="14.25" customHeight="1">
      <c r="H477" s="1" t="s">
        <v>35</v>
      </c>
      <c r="I477" s="1" t="s">
        <v>35</v>
      </c>
      <c r="J477" s="1" t="s">
        <v>35</v>
      </c>
    </row>
    <row r="478" ht="14.25" customHeight="1">
      <c r="H478" s="1" t="s">
        <v>35</v>
      </c>
      <c r="I478" s="1" t="s">
        <v>35</v>
      </c>
      <c r="J478" s="1" t="s">
        <v>35</v>
      </c>
    </row>
    <row r="479" ht="14.25" customHeight="1">
      <c r="H479" s="1" t="s">
        <v>35</v>
      </c>
      <c r="I479" s="1" t="s">
        <v>35</v>
      </c>
      <c r="J479" s="1" t="s">
        <v>35</v>
      </c>
    </row>
    <row r="480" ht="14.25" customHeight="1">
      <c r="H480" s="1" t="s">
        <v>35</v>
      </c>
      <c r="I480" s="1" t="s">
        <v>35</v>
      </c>
      <c r="J480" s="1" t="s">
        <v>35</v>
      </c>
    </row>
    <row r="481" ht="14.25" customHeight="1">
      <c r="H481" s="1" t="s">
        <v>35</v>
      </c>
      <c r="I481" s="1" t="s">
        <v>35</v>
      </c>
      <c r="J481" s="1" t="s">
        <v>35</v>
      </c>
    </row>
    <row r="482" ht="14.25" customHeight="1">
      <c r="H482" s="1" t="s">
        <v>35</v>
      </c>
      <c r="I482" s="1" t="s">
        <v>35</v>
      </c>
      <c r="J482" s="1" t="s">
        <v>35</v>
      </c>
    </row>
    <row r="483" ht="14.25" customHeight="1">
      <c r="H483" s="1" t="s">
        <v>35</v>
      </c>
      <c r="I483" s="1" t="s">
        <v>35</v>
      </c>
      <c r="J483" s="1" t="s">
        <v>35</v>
      </c>
    </row>
    <row r="484" ht="14.25" customHeight="1">
      <c r="H484" s="1" t="s">
        <v>35</v>
      </c>
      <c r="I484" s="1" t="s">
        <v>35</v>
      </c>
      <c r="J484" s="1" t="s">
        <v>35</v>
      </c>
    </row>
    <row r="485" ht="14.25" customHeight="1">
      <c r="H485" s="1" t="s">
        <v>35</v>
      </c>
      <c r="I485" s="1" t="s">
        <v>35</v>
      </c>
      <c r="J485" s="1" t="s">
        <v>35</v>
      </c>
    </row>
    <row r="486" ht="14.25" customHeight="1">
      <c r="H486" s="1" t="s">
        <v>35</v>
      </c>
      <c r="I486" s="1" t="s">
        <v>35</v>
      </c>
      <c r="J486" s="1" t="s">
        <v>35</v>
      </c>
    </row>
    <row r="487" ht="14.25" customHeight="1">
      <c r="H487" s="1" t="s">
        <v>35</v>
      </c>
      <c r="I487" s="1" t="s">
        <v>35</v>
      </c>
      <c r="J487" s="1" t="s">
        <v>35</v>
      </c>
    </row>
    <row r="488" ht="14.25" customHeight="1">
      <c r="H488" s="1" t="s">
        <v>35</v>
      </c>
      <c r="I488" s="1" t="s">
        <v>35</v>
      </c>
      <c r="J488" s="1" t="s">
        <v>35</v>
      </c>
    </row>
    <row r="489" ht="14.25" customHeight="1">
      <c r="H489" s="1" t="s">
        <v>35</v>
      </c>
      <c r="I489" s="1" t="s">
        <v>35</v>
      </c>
      <c r="J489" s="1" t="s">
        <v>35</v>
      </c>
    </row>
    <row r="490" ht="14.25" customHeight="1">
      <c r="H490" s="1" t="s">
        <v>35</v>
      </c>
      <c r="I490" s="1" t="s">
        <v>35</v>
      </c>
      <c r="J490" s="1" t="s">
        <v>35</v>
      </c>
    </row>
    <row r="491" ht="14.25" customHeight="1">
      <c r="H491" s="1" t="s">
        <v>35</v>
      </c>
      <c r="I491" s="1" t="s">
        <v>35</v>
      </c>
      <c r="J491" s="1" t="s">
        <v>35</v>
      </c>
    </row>
    <row r="492" ht="14.25" customHeight="1">
      <c r="H492" s="1" t="s">
        <v>35</v>
      </c>
      <c r="I492" s="1" t="s">
        <v>35</v>
      </c>
      <c r="J492" s="1" t="s">
        <v>35</v>
      </c>
    </row>
    <row r="493" ht="14.25" customHeight="1">
      <c r="H493" s="1" t="s">
        <v>35</v>
      </c>
      <c r="I493" s="1" t="s">
        <v>35</v>
      </c>
      <c r="J493" s="1" t="s">
        <v>35</v>
      </c>
    </row>
    <row r="494" ht="14.25" customHeight="1">
      <c r="H494" s="1" t="s">
        <v>35</v>
      </c>
      <c r="I494" s="1" t="s">
        <v>35</v>
      </c>
      <c r="J494" s="1" t="s">
        <v>35</v>
      </c>
    </row>
    <row r="495" ht="14.25" customHeight="1">
      <c r="H495" s="1" t="s">
        <v>35</v>
      </c>
      <c r="I495" s="1" t="s">
        <v>35</v>
      </c>
      <c r="J495" s="1" t="s">
        <v>35</v>
      </c>
    </row>
    <row r="496" ht="14.25" customHeight="1">
      <c r="H496" s="1" t="s">
        <v>35</v>
      </c>
      <c r="I496" s="1" t="s">
        <v>35</v>
      </c>
      <c r="J496" s="1" t="s">
        <v>35</v>
      </c>
    </row>
    <row r="497" ht="14.25" customHeight="1">
      <c r="H497" s="1" t="s">
        <v>35</v>
      </c>
      <c r="I497" s="1" t="s">
        <v>35</v>
      </c>
      <c r="J497" s="1" t="s">
        <v>35</v>
      </c>
    </row>
    <row r="498" ht="14.25" customHeight="1">
      <c r="H498" s="1" t="s">
        <v>35</v>
      </c>
      <c r="I498" s="1" t="s">
        <v>35</v>
      </c>
      <c r="J498" s="1" t="s">
        <v>35</v>
      </c>
    </row>
    <row r="499" ht="14.25" customHeight="1">
      <c r="H499" s="1" t="s">
        <v>35</v>
      </c>
      <c r="I499" s="1" t="s">
        <v>35</v>
      </c>
      <c r="J499" s="1" t="s">
        <v>35</v>
      </c>
    </row>
    <row r="500" ht="14.25" customHeight="1">
      <c r="H500" s="1" t="s">
        <v>35</v>
      </c>
      <c r="I500" s="1" t="s">
        <v>35</v>
      </c>
      <c r="J500" s="1" t="s">
        <v>35</v>
      </c>
    </row>
    <row r="501" ht="14.25" customHeight="1">
      <c r="H501" s="1" t="s">
        <v>35</v>
      </c>
      <c r="I501" s="1" t="s">
        <v>35</v>
      </c>
      <c r="J501" s="1" t="s">
        <v>35</v>
      </c>
    </row>
    <row r="502" ht="14.25" customHeight="1">
      <c r="H502" s="1" t="s">
        <v>35</v>
      </c>
      <c r="I502" s="1" t="s">
        <v>35</v>
      </c>
      <c r="J502" s="1" t="s">
        <v>35</v>
      </c>
    </row>
    <row r="503" ht="14.25" customHeight="1">
      <c r="H503" s="1" t="s">
        <v>35</v>
      </c>
      <c r="I503" s="1" t="s">
        <v>35</v>
      </c>
      <c r="J503" s="1" t="s">
        <v>35</v>
      </c>
    </row>
    <row r="504" ht="14.25" customHeight="1">
      <c r="H504" s="1" t="s">
        <v>35</v>
      </c>
      <c r="I504" s="1" t="s">
        <v>35</v>
      </c>
      <c r="J504" s="1" t="s">
        <v>35</v>
      </c>
    </row>
    <row r="505" ht="14.25" customHeight="1">
      <c r="H505" s="1" t="s">
        <v>35</v>
      </c>
      <c r="I505" s="1" t="s">
        <v>35</v>
      </c>
      <c r="J505" s="1" t="s">
        <v>35</v>
      </c>
    </row>
    <row r="506" ht="14.25" customHeight="1">
      <c r="H506" s="1" t="s">
        <v>35</v>
      </c>
      <c r="I506" s="1" t="s">
        <v>35</v>
      </c>
      <c r="J506" s="1" t="s">
        <v>35</v>
      </c>
    </row>
    <row r="507" ht="14.25" customHeight="1">
      <c r="H507" s="1" t="s">
        <v>35</v>
      </c>
      <c r="I507" s="1" t="s">
        <v>35</v>
      </c>
      <c r="J507" s="1" t="s">
        <v>35</v>
      </c>
    </row>
    <row r="508" ht="14.25" customHeight="1">
      <c r="H508" s="1" t="s">
        <v>35</v>
      </c>
      <c r="I508" s="1" t="s">
        <v>35</v>
      </c>
      <c r="J508" s="1" t="s">
        <v>35</v>
      </c>
    </row>
    <row r="509" ht="14.25" customHeight="1">
      <c r="H509" s="1" t="s">
        <v>35</v>
      </c>
      <c r="I509" s="1" t="s">
        <v>35</v>
      </c>
      <c r="J509" s="1" t="s">
        <v>35</v>
      </c>
    </row>
    <row r="510" ht="14.25" customHeight="1">
      <c r="H510" s="1" t="s">
        <v>35</v>
      </c>
      <c r="I510" s="1" t="s">
        <v>35</v>
      </c>
      <c r="J510" s="1" t="s">
        <v>35</v>
      </c>
    </row>
    <row r="511" ht="14.25" customHeight="1">
      <c r="H511" s="1" t="s">
        <v>35</v>
      </c>
      <c r="I511" s="1" t="s">
        <v>35</v>
      </c>
      <c r="J511" s="1" t="s">
        <v>35</v>
      </c>
    </row>
    <row r="512" ht="14.25" customHeight="1">
      <c r="H512" s="1" t="s">
        <v>35</v>
      </c>
      <c r="I512" s="1" t="s">
        <v>35</v>
      </c>
      <c r="J512" s="1" t="s">
        <v>35</v>
      </c>
    </row>
    <row r="513" ht="14.25" customHeight="1">
      <c r="H513" s="1" t="s">
        <v>35</v>
      </c>
      <c r="I513" s="1" t="s">
        <v>35</v>
      </c>
      <c r="J513" s="1" t="s">
        <v>35</v>
      </c>
    </row>
    <row r="514" ht="14.25" customHeight="1">
      <c r="H514" s="1" t="s">
        <v>35</v>
      </c>
      <c r="I514" s="1" t="s">
        <v>35</v>
      </c>
      <c r="J514" s="1" t="s">
        <v>35</v>
      </c>
    </row>
    <row r="515" ht="14.25" customHeight="1">
      <c r="H515" s="1" t="s">
        <v>35</v>
      </c>
      <c r="I515" s="1" t="s">
        <v>35</v>
      </c>
      <c r="J515" s="1" t="s">
        <v>35</v>
      </c>
    </row>
    <row r="516" ht="14.25" customHeight="1">
      <c r="H516" s="1" t="s">
        <v>35</v>
      </c>
      <c r="I516" s="1" t="s">
        <v>35</v>
      </c>
      <c r="J516" s="1" t="s">
        <v>35</v>
      </c>
    </row>
    <row r="517" ht="14.25" customHeight="1">
      <c r="H517" s="1" t="s">
        <v>35</v>
      </c>
      <c r="I517" s="1" t="s">
        <v>35</v>
      </c>
      <c r="J517" s="1" t="s">
        <v>35</v>
      </c>
    </row>
    <row r="518" ht="14.25" customHeight="1">
      <c r="H518" s="1" t="s">
        <v>35</v>
      </c>
      <c r="I518" s="1" t="s">
        <v>35</v>
      </c>
      <c r="J518" s="1" t="s">
        <v>35</v>
      </c>
    </row>
    <row r="519" ht="14.25" customHeight="1">
      <c r="H519" s="1" t="s">
        <v>35</v>
      </c>
      <c r="I519" s="1" t="s">
        <v>35</v>
      </c>
      <c r="J519" s="1" t="s">
        <v>35</v>
      </c>
    </row>
    <row r="520" ht="14.25" customHeight="1">
      <c r="H520" s="1" t="s">
        <v>35</v>
      </c>
      <c r="I520" s="1" t="s">
        <v>35</v>
      </c>
      <c r="J520" s="1" t="s">
        <v>35</v>
      </c>
    </row>
    <row r="521" ht="14.25" customHeight="1">
      <c r="H521" s="1" t="s">
        <v>35</v>
      </c>
      <c r="I521" s="1" t="s">
        <v>35</v>
      </c>
      <c r="J521" s="1" t="s">
        <v>35</v>
      </c>
    </row>
    <row r="522" ht="14.25" customHeight="1">
      <c r="H522" s="1" t="s">
        <v>35</v>
      </c>
      <c r="I522" s="1" t="s">
        <v>35</v>
      </c>
      <c r="J522" s="1" t="s">
        <v>35</v>
      </c>
    </row>
    <row r="523" ht="14.25" customHeight="1">
      <c r="H523" s="1" t="s">
        <v>35</v>
      </c>
      <c r="I523" s="1" t="s">
        <v>35</v>
      </c>
      <c r="J523" s="1" t="s">
        <v>35</v>
      </c>
    </row>
    <row r="524" ht="14.25" customHeight="1">
      <c r="H524" s="1" t="s">
        <v>35</v>
      </c>
      <c r="I524" s="1" t="s">
        <v>35</v>
      </c>
      <c r="J524" s="1" t="s">
        <v>35</v>
      </c>
    </row>
    <row r="525" ht="14.25" customHeight="1">
      <c r="H525" s="1" t="s">
        <v>35</v>
      </c>
      <c r="I525" s="1" t="s">
        <v>35</v>
      </c>
      <c r="J525" s="1" t="s">
        <v>35</v>
      </c>
    </row>
    <row r="526" ht="14.25" customHeight="1">
      <c r="H526" s="1" t="s">
        <v>35</v>
      </c>
      <c r="I526" s="1" t="s">
        <v>35</v>
      </c>
      <c r="J526" s="1" t="s">
        <v>35</v>
      </c>
    </row>
    <row r="527" ht="14.25" customHeight="1">
      <c r="H527" s="1" t="s">
        <v>35</v>
      </c>
      <c r="I527" s="1" t="s">
        <v>35</v>
      </c>
      <c r="J527" s="1" t="s">
        <v>35</v>
      </c>
    </row>
    <row r="528" ht="14.25" customHeight="1">
      <c r="H528" s="1" t="s">
        <v>35</v>
      </c>
      <c r="I528" s="1" t="s">
        <v>35</v>
      </c>
      <c r="J528" s="1" t="s">
        <v>35</v>
      </c>
    </row>
    <row r="529" ht="14.25" customHeight="1">
      <c r="H529" s="1" t="s">
        <v>35</v>
      </c>
      <c r="I529" s="1" t="s">
        <v>35</v>
      </c>
      <c r="J529" s="1" t="s">
        <v>35</v>
      </c>
    </row>
    <row r="530" ht="14.25" customHeight="1">
      <c r="H530" s="1" t="s">
        <v>35</v>
      </c>
      <c r="I530" s="1" t="s">
        <v>35</v>
      </c>
      <c r="J530" s="1" t="s">
        <v>35</v>
      </c>
    </row>
    <row r="531" ht="14.25" customHeight="1">
      <c r="H531" s="1" t="s">
        <v>35</v>
      </c>
      <c r="I531" s="1" t="s">
        <v>35</v>
      </c>
      <c r="J531" s="1" t="s">
        <v>35</v>
      </c>
    </row>
    <row r="532" ht="14.25" customHeight="1">
      <c r="H532" s="1" t="s">
        <v>35</v>
      </c>
      <c r="I532" s="1" t="s">
        <v>35</v>
      </c>
      <c r="J532" s="1" t="s">
        <v>35</v>
      </c>
    </row>
    <row r="533" ht="14.25" customHeight="1">
      <c r="H533" s="1" t="s">
        <v>35</v>
      </c>
      <c r="I533" s="1" t="s">
        <v>35</v>
      </c>
      <c r="J533" s="1" t="s">
        <v>35</v>
      </c>
    </row>
    <row r="534" ht="14.25" customHeight="1">
      <c r="H534" s="1" t="s">
        <v>35</v>
      </c>
      <c r="I534" s="1" t="s">
        <v>35</v>
      </c>
      <c r="J534" s="1" t="s">
        <v>35</v>
      </c>
    </row>
    <row r="535" ht="14.25" customHeight="1">
      <c r="H535" s="1" t="s">
        <v>35</v>
      </c>
      <c r="I535" s="1" t="s">
        <v>35</v>
      </c>
      <c r="J535" s="1" t="s">
        <v>35</v>
      </c>
    </row>
    <row r="536" ht="14.25" customHeight="1">
      <c r="H536" s="1" t="s">
        <v>35</v>
      </c>
      <c r="I536" s="1" t="s">
        <v>35</v>
      </c>
      <c r="J536" s="1" t="s">
        <v>35</v>
      </c>
    </row>
    <row r="537" ht="14.25" customHeight="1">
      <c r="H537" s="1" t="s">
        <v>35</v>
      </c>
      <c r="I537" s="1" t="s">
        <v>35</v>
      </c>
      <c r="J537" s="1" t="s">
        <v>35</v>
      </c>
    </row>
    <row r="538" ht="14.25" customHeight="1">
      <c r="H538" s="1" t="s">
        <v>35</v>
      </c>
      <c r="I538" s="1" t="s">
        <v>35</v>
      </c>
      <c r="J538" s="1" t="s">
        <v>35</v>
      </c>
    </row>
    <row r="539" ht="14.25" customHeight="1">
      <c r="H539" s="1" t="s">
        <v>35</v>
      </c>
      <c r="I539" s="1" t="s">
        <v>35</v>
      </c>
      <c r="J539" s="1" t="s">
        <v>35</v>
      </c>
    </row>
    <row r="540" ht="14.25" customHeight="1">
      <c r="H540" s="1" t="s">
        <v>35</v>
      </c>
      <c r="I540" s="1" t="s">
        <v>35</v>
      </c>
      <c r="J540" s="1" t="s">
        <v>35</v>
      </c>
    </row>
    <row r="541" ht="14.25" customHeight="1">
      <c r="H541" s="1" t="s">
        <v>35</v>
      </c>
      <c r="I541" s="1" t="s">
        <v>35</v>
      </c>
      <c r="J541" s="1" t="s">
        <v>35</v>
      </c>
    </row>
    <row r="542" ht="14.25" customHeight="1">
      <c r="H542" s="1" t="s">
        <v>35</v>
      </c>
      <c r="I542" s="1" t="s">
        <v>35</v>
      </c>
      <c r="J542" s="1" t="s">
        <v>35</v>
      </c>
    </row>
    <row r="543" ht="14.25" customHeight="1">
      <c r="H543" s="1" t="s">
        <v>35</v>
      </c>
      <c r="I543" s="1" t="s">
        <v>35</v>
      </c>
      <c r="J543" s="1" t="s">
        <v>35</v>
      </c>
    </row>
    <row r="544" ht="14.25" customHeight="1">
      <c r="H544" s="1" t="s">
        <v>35</v>
      </c>
      <c r="I544" s="1" t="s">
        <v>35</v>
      </c>
      <c r="J544" s="1" t="s">
        <v>35</v>
      </c>
    </row>
    <row r="545" ht="14.25" customHeight="1">
      <c r="H545" s="1" t="s">
        <v>35</v>
      </c>
      <c r="I545" s="1" t="s">
        <v>35</v>
      </c>
      <c r="J545" s="1" t="s">
        <v>35</v>
      </c>
    </row>
    <row r="546" ht="14.25" customHeight="1">
      <c r="H546" s="1" t="s">
        <v>35</v>
      </c>
      <c r="I546" s="1" t="s">
        <v>35</v>
      </c>
      <c r="J546" s="1" t="s">
        <v>35</v>
      </c>
    </row>
    <row r="547" ht="14.25" customHeight="1">
      <c r="H547" s="1" t="s">
        <v>35</v>
      </c>
      <c r="I547" s="1" t="s">
        <v>35</v>
      </c>
      <c r="J547" s="1" t="s">
        <v>35</v>
      </c>
    </row>
    <row r="548" ht="14.25" customHeight="1">
      <c r="H548" s="1" t="s">
        <v>35</v>
      </c>
      <c r="I548" s="1" t="s">
        <v>35</v>
      </c>
      <c r="J548" s="1" t="s">
        <v>35</v>
      </c>
    </row>
    <row r="549" ht="14.25" customHeight="1">
      <c r="H549" s="1" t="s">
        <v>35</v>
      </c>
      <c r="I549" s="1" t="s">
        <v>35</v>
      </c>
      <c r="J549" s="1" t="s">
        <v>35</v>
      </c>
    </row>
    <row r="550" ht="14.25" customHeight="1">
      <c r="H550" s="1" t="s">
        <v>35</v>
      </c>
      <c r="I550" s="1" t="s">
        <v>35</v>
      </c>
      <c r="J550" s="1" t="s">
        <v>35</v>
      </c>
    </row>
    <row r="551" ht="14.25" customHeight="1">
      <c r="H551" s="1" t="s">
        <v>35</v>
      </c>
      <c r="I551" s="1" t="s">
        <v>35</v>
      </c>
      <c r="J551" s="1" t="s">
        <v>35</v>
      </c>
    </row>
    <row r="552" ht="14.25" customHeight="1">
      <c r="H552" s="1" t="s">
        <v>35</v>
      </c>
      <c r="I552" s="1" t="s">
        <v>35</v>
      </c>
      <c r="J552" s="1" t="s">
        <v>35</v>
      </c>
    </row>
    <row r="553" ht="14.25" customHeight="1">
      <c r="H553" s="1" t="s">
        <v>35</v>
      </c>
      <c r="I553" s="1" t="s">
        <v>35</v>
      </c>
      <c r="J553" s="1" t="s">
        <v>35</v>
      </c>
    </row>
    <row r="554" ht="14.25" customHeight="1">
      <c r="H554" s="1" t="s">
        <v>35</v>
      </c>
      <c r="I554" s="1" t="s">
        <v>35</v>
      </c>
      <c r="J554" s="1" t="s">
        <v>35</v>
      </c>
    </row>
    <row r="555" ht="14.25" customHeight="1">
      <c r="H555" s="1" t="s">
        <v>35</v>
      </c>
      <c r="I555" s="1" t="s">
        <v>35</v>
      </c>
      <c r="J555" s="1" t="s">
        <v>35</v>
      </c>
    </row>
    <row r="556" ht="14.25" customHeight="1">
      <c r="H556" s="1" t="s">
        <v>35</v>
      </c>
      <c r="I556" s="1" t="s">
        <v>35</v>
      </c>
      <c r="J556" s="1" t="s">
        <v>35</v>
      </c>
    </row>
    <row r="557" ht="14.25" customHeight="1">
      <c r="H557" s="1" t="s">
        <v>35</v>
      </c>
      <c r="I557" s="1" t="s">
        <v>35</v>
      </c>
      <c r="J557" s="1" t="s">
        <v>35</v>
      </c>
    </row>
    <row r="558" ht="14.25" customHeight="1">
      <c r="H558" s="1" t="s">
        <v>35</v>
      </c>
      <c r="I558" s="1" t="s">
        <v>35</v>
      </c>
      <c r="J558" s="1" t="s">
        <v>35</v>
      </c>
    </row>
    <row r="559" ht="14.25" customHeight="1">
      <c r="H559" s="1" t="s">
        <v>35</v>
      </c>
      <c r="I559" s="1" t="s">
        <v>35</v>
      </c>
      <c r="J559" s="1" t="s">
        <v>35</v>
      </c>
    </row>
    <row r="560" ht="14.25" customHeight="1">
      <c r="H560" s="1" t="s">
        <v>35</v>
      </c>
      <c r="I560" s="1" t="s">
        <v>35</v>
      </c>
      <c r="J560" s="1" t="s">
        <v>35</v>
      </c>
    </row>
    <row r="561" ht="14.25" customHeight="1">
      <c r="H561" s="1" t="s">
        <v>35</v>
      </c>
      <c r="I561" s="1" t="s">
        <v>35</v>
      </c>
      <c r="J561" s="1" t="s">
        <v>35</v>
      </c>
    </row>
    <row r="562" ht="14.25" customHeight="1">
      <c r="H562" s="1" t="s">
        <v>35</v>
      </c>
      <c r="I562" s="1" t="s">
        <v>35</v>
      </c>
      <c r="J562" s="1" t="s">
        <v>35</v>
      </c>
    </row>
    <row r="563" ht="14.25" customHeight="1">
      <c r="H563" s="1" t="s">
        <v>35</v>
      </c>
      <c r="I563" s="1" t="s">
        <v>35</v>
      </c>
      <c r="J563" s="1" t="s">
        <v>35</v>
      </c>
    </row>
    <row r="564" ht="14.25" customHeight="1">
      <c r="H564" s="1" t="s">
        <v>35</v>
      </c>
      <c r="I564" s="1" t="s">
        <v>35</v>
      </c>
      <c r="J564" s="1" t="s">
        <v>35</v>
      </c>
    </row>
    <row r="565" ht="14.25" customHeight="1">
      <c r="H565" s="1" t="s">
        <v>35</v>
      </c>
      <c r="I565" s="1" t="s">
        <v>35</v>
      </c>
      <c r="J565" s="1" t="s">
        <v>35</v>
      </c>
    </row>
    <row r="566" ht="14.25" customHeight="1">
      <c r="H566" s="1" t="s">
        <v>35</v>
      </c>
      <c r="I566" s="1" t="s">
        <v>35</v>
      </c>
      <c r="J566" s="1" t="s">
        <v>35</v>
      </c>
    </row>
    <row r="567" ht="14.25" customHeight="1">
      <c r="H567" s="1" t="s">
        <v>35</v>
      </c>
      <c r="I567" s="1" t="s">
        <v>35</v>
      </c>
      <c r="J567" s="1" t="s">
        <v>35</v>
      </c>
    </row>
    <row r="568" ht="14.25" customHeight="1">
      <c r="H568" s="1" t="s">
        <v>35</v>
      </c>
      <c r="I568" s="1" t="s">
        <v>35</v>
      </c>
      <c r="J568" s="1" t="s">
        <v>35</v>
      </c>
    </row>
    <row r="569" ht="14.25" customHeight="1">
      <c r="H569" s="1" t="s">
        <v>35</v>
      </c>
      <c r="I569" s="1" t="s">
        <v>35</v>
      </c>
      <c r="J569" s="1" t="s">
        <v>35</v>
      </c>
    </row>
    <row r="570" ht="14.25" customHeight="1">
      <c r="H570" s="1" t="s">
        <v>35</v>
      </c>
      <c r="I570" s="1" t="s">
        <v>35</v>
      </c>
      <c r="J570" s="1" t="s">
        <v>35</v>
      </c>
    </row>
    <row r="571" ht="14.25" customHeight="1">
      <c r="H571" s="1" t="s">
        <v>35</v>
      </c>
      <c r="I571" s="1" t="s">
        <v>35</v>
      </c>
      <c r="J571" s="1" t="s">
        <v>35</v>
      </c>
    </row>
    <row r="572" ht="14.25" customHeight="1">
      <c r="H572" s="1" t="s">
        <v>35</v>
      </c>
      <c r="I572" s="1" t="s">
        <v>35</v>
      </c>
      <c r="J572" s="1" t="s">
        <v>35</v>
      </c>
    </row>
    <row r="573" ht="14.25" customHeight="1">
      <c r="H573" s="1" t="s">
        <v>35</v>
      </c>
      <c r="I573" s="1" t="s">
        <v>35</v>
      </c>
      <c r="J573" s="1" t="s">
        <v>35</v>
      </c>
    </row>
    <row r="574" ht="14.25" customHeight="1">
      <c r="H574" s="1" t="s">
        <v>35</v>
      </c>
      <c r="I574" s="1" t="s">
        <v>35</v>
      </c>
      <c r="J574" s="1" t="s">
        <v>35</v>
      </c>
    </row>
    <row r="575" ht="14.25" customHeight="1">
      <c r="H575" s="1" t="s">
        <v>35</v>
      </c>
      <c r="I575" s="1" t="s">
        <v>35</v>
      </c>
      <c r="J575" s="1" t="s">
        <v>35</v>
      </c>
    </row>
    <row r="576" ht="14.25" customHeight="1">
      <c r="H576" s="1" t="s">
        <v>35</v>
      </c>
      <c r="I576" s="1" t="s">
        <v>35</v>
      </c>
      <c r="J576" s="1" t="s">
        <v>35</v>
      </c>
    </row>
    <row r="577" ht="14.25" customHeight="1">
      <c r="H577" s="1" t="s">
        <v>35</v>
      </c>
      <c r="I577" s="1" t="s">
        <v>35</v>
      </c>
      <c r="J577" s="1" t="s">
        <v>35</v>
      </c>
    </row>
    <row r="578" ht="14.25" customHeight="1">
      <c r="H578" s="1" t="s">
        <v>35</v>
      </c>
      <c r="I578" s="1" t="s">
        <v>35</v>
      </c>
      <c r="J578" s="1" t="s">
        <v>35</v>
      </c>
    </row>
    <row r="579" ht="14.25" customHeight="1">
      <c r="H579" s="1" t="s">
        <v>35</v>
      </c>
      <c r="I579" s="1" t="s">
        <v>35</v>
      </c>
      <c r="J579" s="1" t="s">
        <v>35</v>
      </c>
    </row>
    <row r="580" ht="14.25" customHeight="1">
      <c r="H580" s="1" t="s">
        <v>35</v>
      </c>
      <c r="I580" s="1" t="s">
        <v>35</v>
      </c>
      <c r="J580" s="1" t="s">
        <v>35</v>
      </c>
    </row>
    <row r="581" ht="14.25" customHeight="1">
      <c r="H581" s="1" t="s">
        <v>35</v>
      </c>
      <c r="I581" s="1" t="s">
        <v>35</v>
      </c>
      <c r="J581" s="1" t="s">
        <v>35</v>
      </c>
    </row>
    <row r="582" ht="14.25" customHeight="1">
      <c r="H582" s="1" t="s">
        <v>35</v>
      </c>
      <c r="I582" s="1" t="s">
        <v>35</v>
      </c>
      <c r="J582" s="1" t="s">
        <v>35</v>
      </c>
    </row>
    <row r="583" ht="14.25" customHeight="1">
      <c r="H583" s="1" t="s">
        <v>35</v>
      </c>
      <c r="I583" s="1" t="s">
        <v>35</v>
      </c>
      <c r="J583" s="1" t="s">
        <v>35</v>
      </c>
    </row>
    <row r="584" ht="14.25" customHeight="1">
      <c r="H584" s="1" t="s">
        <v>35</v>
      </c>
      <c r="I584" s="1" t="s">
        <v>35</v>
      </c>
      <c r="J584" s="1" t="s">
        <v>35</v>
      </c>
    </row>
    <row r="585" ht="14.25" customHeight="1">
      <c r="H585" s="1" t="s">
        <v>35</v>
      </c>
      <c r="I585" s="1" t="s">
        <v>35</v>
      </c>
      <c r="J585" s="1" t="s">
        <v>35</v>
      </c>
    </row>
    <row r="586" ht="14.25" customHeight="1">
      <c r="H586" s="1" t="s">
        <v>35</v>
      </c>
      <c r="I586" s="1" t="s">
        <v>35</v>
      </c>
      <c r="J586" s="1" t="s">
        <v>35</v>
      </c>
    </row>
    <row r="587" ht="14.25" customHeight="1">
      <c r="H587" s="1" t="s">
        <v>35</v>
      </c>
      <c r="I587" s="1" t="s">
        <v>35</v>
      </c>
      <c r="J587" s="1" t="s">
        <v>35</v>
      </c>
    </row>
    <row r="588" ht="14.25" customHeight="1">
      <c r="H588" s="1" t="s">
        <v>35</v>
      </c>
      <c r="I588" s="1" t="s">
        <v>35</v>
      </c>
      <c r="J588" s="1" t="s">
        <v>35</v>
      </c>
    </row>
    <row r="589" ht="14.25" customHeight="1">
      <c r="H589" s="1" t="s">
        <v>35</v>
      </c>
      <c r="I589" s="1" t="s">
        <v>35</v>
      </c>
      <c r="J589" s="1" t="s">
        <v>35</v>
      </c>
    </row>
    <row r="590" ht="14.25" customHeight="1">
      <c r="H590" s="1" t="s">
        <v>35</v>
      </c>
      <c r="I590" s="1" t="s">
        <v>35</v>
      </c>
      <c r="J590" s="1" t="s">
        <v>35</v>
      </c>
    </row>
    <row r="591" ht="14.25" customHeight="1">
      <c r="H591" s="1" t="s">
        <v>35</v>
      </c>
      <c r="I591" s="1" t="s">
        <v>35</v>
      </c>
      <c r="J591" s="1" t="s">
        <v>35</v>
      </c>
    </row>
    <row r="592" ht="14.25" customHeight="1">
      <c r="H592" s="1" t="s">
        <v>35</v>
      </c>
      <c r="I592" s="1" t="s">
        <v>35</v>
      </c>
      <c r="J592" s="1" t="s">
        <v>35</v>
      </c>
    </row>
    <row r="593" ht="14.25" customHeight="1">
      <c r="H593" s="1" t="s">
        <v>35</v>
      </c>
      <c r="I593" s="1" t="s">
        <v>35</v>
      </c>
      <c r="J593" s="1" t="s">
        <v>35</v>
      </c>
    </row>
    <row r="594" ht="14.25" customHeight="1">
      <c r="H594" s="1" t="s">
        <v>35</v>
      </c>
      <c r="I594" s="1" t="s">
        <v>35</v>
      </c>
      <c r="J594" s="1" t="s">
        <v>35</v>
      </c>
    </row>
    <row r="595" ht="14.25" customHeight="1">
      <c r="H595" s="1" t="s">
        <v>35</v>
      </c>
      <c r="I595" s="1" t="s">
        <v>35</v>
      </c>
      <c r="J595" s="1" t="s">
        <v>35</v>
      </c>
    </row>
    <row r="596" ht="14.25" customHeight="1">
      <c r="H596" s="1" t="s">
        <v>35</v>
      </c>
      <c r="I596" s="1" t="s">
        <v>35</v>
      </c>
      <c r="J596" s="1" t="s">
        <v>35</v>
      </c>
    </row>
    <row r="597" ht="14.25" customHeight="1">
      <c r="H597" s="1" t="s">
        <v>35</v>
      </c>
      <c r="I597" s="1" t="s">
        <v>35</v>
      </c>
      <c r="J597" s="1" t="s">
        <v>35</v>
      </c>
    </row>
    <row r="598" ht="14.25" customHeight="1">
      <c r="H598" s="1" t="s">
        <v>35</v>
      </c>
      <c r="I598" s="1" t="s">
        <v>35</v>
      </c>
      <c r="J598" s="1" t="s">
        <v>35</v>
      </c>
    </row>
    <row r="599" ht="14.25" customHeight="1">
      <c r="H599" s="1" t="s">
        <v>35</v>
      </c>
      <c r="I599" s="1" t="s">
        <v>35</v>
      </c>
      <c r="J599" s="1" t="s">
        <v>35</v>
      </c>
    </row>
    <row r="600" ht="14.25" customHeight="1">
      <c r="H600" s="1" t="s">
        <v>35</v>
      </c>
      <c r="I600" s="1" t="s">
        <v>35</v>
      </c>
      <c r="J600" s="1" t="s">
        <v>35</v>
      </c>
    </row>
    <row r="601" ht="14.25" customHeight="1">
      <c r="H601" s="1" t="s">
        <v>35</v>
      </c>
      <c r="I601" s="1" t="s">
        <v>35</v>
      </c>
      <c r="J601" s="1" t="s">
        <v>35</v>
      </c>
    </row>
    <row r="602" ht="14.25" customHeight="1">
      <c r="H602" s="1" t="s">
        <v>35</v>
      </c>
      <c r="I602" s="1" t="s">
        <v>35</v>
      </c>
      <c r="J602" s="1" t="s">
        <v>35</v>
      </c>
    </row>
    <row r="603" ht="14.25" customHeight="1">
      <c r="H603" s="1" t="s">
        <v>35</v>
      </c>
      <c r="I603" s="1" t="s">
        <v>35</v>
      </c>
      <c r="J603" s="1" t="s">
        <v>35</v>
      </c>
    </row>
    <row r="604" ht="14.25" customHeight="1">
      <c r="H604" s="1" t="s">
        <v>35</v>
      </c>
      <c r="I604" s="1" t="s">
        <v>35</v>
      </c>
      <c r="J604" s="1" t="s">
        <v>35</v>
      </c>
    </row>
    <row r="605" ht="14.25" customHeight="1">
      <c r="H605" s="1" t="s">
        <v>35</v>
      </c>
      <c r="I605" s="1" t="s">
        <v>35</v>
      </c>
      <c r="J605" s="1" t="s">
        <v>35</v>
      </c>
    </row>
    <row r="606" ht="14.25" customHeight="1">
      <c r="H606" s="1" t="s">
        <v>35</v>
      </c>
      <c r="I606" s="1" t="s">
        <v>35</v>
      </c>
      <c r="J606" s="1" t="s">
        <v>35</v>
      </c>
    </row>
    <row r="607" ht="14.25" customHeight="1">
      <c r="H607" s="1" t="s">
        <v>35</v>
      </c>
      <c r="I607" s="1" t="s">
        <v>35</v>
      </c>
      <c r="J607" s="1" t="s">
        <v>35</v>
      </c>
    </row>
    <row r="608" ht="14.25" customHeight="1">
      <c r="H608" s="1" t="s">
        <v>35</v>
      </c>
      <c r="I608" s="1" t="s">
        <v>35</v>
      </c>
      <c r="J608" s="1" t="s">
        <v>35</v>
      </c>
    </row>
    <row r="609" ht="14.25" customHeight="1">
      <c r="H609" s="1" t="s">
        <v>35</v>
      </c>
      <c r="I609" s="1" t="s">
        <v>35</v>
      </c>
      <c r="J609" s="1" t="s">
        <v>35</v>
      </c>
    </row>
    <row r="610" ht="14.25" customHeight="1">
      <c r="H610" s="1" t="s">
        <v>35</v>
      </c>
      <c r="I610" s="1" t="s">
        <v>35</v>
      </c>
      <c r="J610" s="1" t="s">
        <v>35</v>
      </c>
    </row>
    <row r="611" ht="14.25" customHeight="1">
      <c r="H611" s="1" t="s">
        <v>35</v>
      </c>
      <c r="I611" s="1" t="s">
        <v>35</v>
      </c>
      <c r="J611" s="1" t="s">
        <v>35</v>
      </c>
    </row>
    <row r="612" ht="14.25" customHeight="1">
      <c r="H612" s="1" t="s">
        <v>35</v>
      </c>
      <c r="I612" s="1" t="s">
        <v>35</v>
      </c>
      <c r="J612" s="1" t="s">
        <v>35</v>
      </c>
    </row>
    <row r="613" ht="14.25" customHeight="1">
      <c r="H613" s="1" t="s">
        <v>35</v>
      </c>
      <c r="I613" s="1" t="s">
        <v>35</v>
      </c>
      <c r="J613" s="1" t="s">
        <v>35</v>
      </c>
    </row>
    <row r="614" ht="14.25" customHeight="1">
      <c r="H614" s="1" t="s">
        <v>35</v>
      </c>
      <c r="I614" s="1" t="s">
        <v>35</v>
      </c>
      <c r="J614" s="1" t="s">
        <v>35</v>
      </c>
    </row>
    <row r="615" ht="14.25" customHeight="1">
      <c r="H615" s="1" t="s">
        <v>35</v>
      </c>
      <c r="I615" s="1" t="s">
        <v>35</v>
      </c>
      <c r="J615" s="1" t="s">
        <v>35</v>
      </c>
    </row>
    <row r="616" ht="14.25" customHeight="1">
      <c r="H616" s="1" t="s">
        <v>35</v>
      </c>
      <c r="I616" s="1" t="s">
        <v>35</v>
      </c>
      <c r="J616" s="1" t="s">
        <v>35</v>
      </c>
    </row>
    <row r="617" ht="14.25" customHeight="1">
      <c r="H617" s="1" t="s">
        <v>35</v>
      </c>
      <c r="I617" s="1" t="s">
        <v>35</v>
      </c>
      <c r="J617" s="1" t="s">
        <v>35</v>
      </c>
    </row>
    <row r="618" ht="14.25" customHeight="1">
      <c r="H618" s="1" t="s">
        <v>35</v>
      </c>
      <c r="I618" s="1" t="s">
        <v>35</v>
      </c>
      <c r="J618" s="1" t="s">
        <v>35</v>
      </c>
    </row>
    <row r="619" ht="14.25" customHeight="1">
      <c r="H619" s="1" t="s">
        <v>35</v>
      </c>
      <c r="I619" s="1" t="s">
        <v>35</v>
      </c>
      <c r="J619" s="1" t="s">
        <v>35</v>
      </c>
    </row>
    <row r="620" ht="14.25" customHeight="1">
      <c r="H620" s="1" t="s">
        <v>35</v>
      </c>
      <c r="I620" s="1" t="s">
        <v>35</v>
      </c>
      <c r="J620" s="1" t="s">
        <v>35</v>
      </c>
    </row>
    <row r="621" ht="14.25" customHeight="1">
      <c r="H621" s="1" t="s">
        <v>35</v>
      </c>
      <c r="I621" s="1" t="s">
        <v>35</v>
      </c>
      <c r="J621" s="1" t="s">
        <v>35</v>
      </c>
    </row>
    <row r="622" ht="14.25" customHeight="1">
      <c r="H622" s="1" t="s">
        <v>35</v>
      </c>
      <c r="I622" s="1" t="s">
        <v>35</v>
      </c>
      <c r="J622" s="1" t="s">
        <v>35</v>
      </c>
    </row>
    <row r="623" ht="14.25" customHeight="1">
      <c r="H623" s="1" t="s">
        <v>35</v>
      </c>
      <c r="I623" s="1" t="s">
        <v>35</v>
      </c>
      <c r="J623" s="1" t="s">
        <v>35</v>
      </c>
    </row>
    <row r="624" ht="14.25" customHeight="1">
      <c r="H624" s="1" t="s">
        <v>35</v>
      </c>
      <c r="I624" s="1" t="s">
        <v>35</v>
      </c>
      <c r="J624" s="1" t="s">
        <v>35</v>
      </c>
    </row>
    <row r="625" ht="14.25" customHeight="1">
      <c r="H625" s="1" t="s">
        <v>35</v>
      </c>
      <c r="I625" s="1" t="s">
        <v>35</v>
      </c>
      <c r="J625" s="1" t="s">
        <v>35</v>
      </c>
    </row>
    <row r="626" ht="14.25" customHeight="1">
      <c r="H626" s="1" t="s">
        <v>35</v>
      </c>
      <c r="I626" s="1" t="s">
        <v>35</v>
      </c>
      <c r="J626" s="1" t="s">
        <v>35</v>
      </c>
    </row>
    <row r="627" ht="14.25" customHeight="1">
      <c r="H627" s="1" t="s">
        <v>35</v>
      </c>
      <c r="I627" s="1" t="s">
        <v>35</v>
      </c>
      <c r="J627" s="1" t="s">
        <v>35</v>
      </c>
    </row>
    <row r="628" ht="14.25" customHeight="1">
      <c r="H628" s="1" t="s">
        <v>35</v>
      </c>
      <c r="I628" s="1" t="s">
        <v>35</v>
      </c>
      <c r="J628" s="1" t="s">
        <v>35</v>
      </c>
    </row>
    <row r="629" ht="14.25" customHeight="1">
      <c r="H629" s="1" t="s">
        <v>35</v>
      </c>
      <c r="I629" s="1" t="s">
        <v>35</v>
      </c>
      <c r="J629" s="1" t="s">
        <v>35</v>
      </c>
    </row>
    <row r="630" ht="14.25" customHeight="1">
      <c r="H630" s="1" t="s">
        <v>35</v>
      </c>
      <c r="I630" s="1" t="s">
        <v>35</v>
      </c>
      <c r="J630" s="1" t="s">
        <v>35</v>
      </c>
    </row>
    <row r="631" ht="14.25" customHeight="1">
      <c r="H631" s="1" t="s">
        <v>35</v>
      </c>
      <c r="I631" s="1" t="s">
        <v>35</v>
      </c>
      <c r="J631" s="1" t="s">
        <v>35</v>
      </c>
    </row>
    <row r="632" ht="14.25" customHeight="1">
      <c r="H632" s="1" t="s">
        <v>35</v>
      </c>
      <c r="I632" s="1" t="s">
        <v>35</v>
      </c>
      <c r="J632" s="1" t="s">
        <v>35</v>
      </c>
    </row>
    <row r="633" ht="14.25" customHeight="1">
      <c r="H633" s="1" t="s">
        <v>35</v>
      </c>
      <c r="I633" s="1" t="s">
        <v>35</v>
      </c>
      <c r="J633" s="1" t="s">
        <v>35</v>
      </c>
    </row>
    <row r="634" ht="14.25" customHeight="1">
      <c r="H634" s="1" t="s">
        <v>35</v>
      </c>
      <c r="I634" s="1" t="s">
        <v>35</v>
      </c>
      <c r="J634" s="1" t="s">
        <v>35</v>
      </c>
    </row>
    <row r="635" ht="14.25" customHeight="1">
      <c r="H635" s="1" t="s">
        <v>35</v>
      </c>
      <c r="I635" s="1" t="s">
        <v>35</v>
      </c>
      <c r="J635" s="1" t="s">
        <v>35</v>
      </c>
    </row>
    <row r="636" ht="14.25" customHeight="1">
      <c r="H636" s="1" t="s">
        <v>35</v>
      </c>
      <c r="I636" s="1" t="s">
        <v>35</v>
      </c>
      <c r="J636" s="1" t="s">
        <v>35</v>
      </c>
    </row>
    <row r="637" ht="14.25" customHeight="1">
      <c r="H637" s="1" t="s">
        <v>35</v>
      </c>
      <c r="I637" s="1" t="s">
        <v>35</v>
      </c>
      <c r="J637" s="1" t="s">
        <v>35</v>
      </c>
    </row>
    <row r="638" ht="14.25" customHeight="1">
      <c r="H638" s="1" t="s">
        <v>35</v>
      </c>
      <c r="I638" s="1" t="s">
        <v>35</v>
      </c>
      <c r="J638" s="1" t="s">
        <v>35</v>
      </c>
    </row>
    <row r="639" ht="14.25" customHeight="1">
      <c r="H639" s="1" t="s">
        <v>35</v>
      </c>
      <c r="I639" s="1" t="s">
        <v>35</v>
      </c>
      <c r="J639" s="1" t="s">
        <v>35</v>
      </c>
    </row>
    <row r="640" ht="14.25" customHeight="1">
      <c r="H640" s="1" t="s">
        <v>35</v>
      </c>
      <c r="I640" s="1" t="s">
        <v>35</v>
      </c>
      <c r="J640" s="1" t="s">
        <v>35</v>
      </c>
    </row>
    <row r="641" ht="14.25" customHeight="1">
      <c r="H641" s="1" t="s">
        <v>35</v>
      </c>
      <c r="I641" s="1" t="s">
        <v>35</v>
      </c>
      <c r="J641" s="1" t="s">
        <v>35</v>
      </c>
    </row>
    <row r="642" ht="14.25" customHeight="1">
      <c r="H642" s="1" t="s">
        <v>35</v>
      </c>
      <c r="I642" s="1" t="s">
        <v>35</v>
      </c>
      <c r="J642" s="1" t="s">
        <v>35</v>
      </c>
    </row>
    <row r="643" ht="14.25" customHeight="1">
      <c r="H643" s="1" t="s">
        <v>35</v>
      </c>
      <c r="I643" s="1" t="s">
        <v>35</v>
      </c>
      <c r="J643" s="1" t="s">
        <v>35</v>
      </c>
    </row>
    <row r="644" ht="14.25" customHeight="1">
      <c r="H644" s="1" t="s">
        <v>35</v>
      </c>
      <c r="I644" s="1" t="s">
        <v>35</v>
      </c>
      <c r="J644" s="1" t="s">
        <v>35</v>
      </c>
    </row>
    <row r="645" ht="14.25" customHeight="1">
      <c r="H645" s="1" t="s">
        <v>35</v>
      </c>
      <c r="I645" s="1" t="s">
        <v>35</v>
      </c>
      <c r="J645" s="1" t="s">
        <v>35</v>
      </c>
    </row>
    <row r="646" ht="14.25" customHeight="1">
      <c r="H646" s="1" t="s">
        <v>35</v>
      </c>
      <c r="I646" s="1" t="s">
        <v>35</v>
      </c>
      <c r="J646" s="1" t="s">
        <v>35</v>
      </c>
    </row>
    <row r="647" ht="14.25" customHeight="1">
      <c r="H647" s="1" t="s">
        <v>35</v>
      </c>
      <c r="I647" s="1" t="s">
        <v>35</v>
      </c>
      <c r="J647" s="1" t="s">
        <v>35</v>
      </c>
    </row>
    <row r="648" ht="14.25" customHeight="1">
      <c r="H648" s="1" t="s">
        <v>35</v>
      </c>
      <c r="I648" s="1" t="s">
        <v>35</v>
      </c>
      <c r="J648" s="1" t="s">
        <v>35</v>
      </c>
    </row>
    <row r="649" ht="14.25" customHeight="1">
      <c r="H649" s="1" t="s">
        <v>35</v>
      </c>
      <c r="I649" s="1" t="s">
        <v>35</v>
      </c>
      <c r="J649" s="1" t="s">
        <v>35</v>
      </c>
    </row>
    <row r="650" ht="14.25" customHeight="1">
      <c r="H650" s="1" t="s">
        <v>35</v>
      </c>
      <c r="I650" s="1" t="s">
        <v>35</v>
      </c>
      <c r="J650" s="1" t="s">
        <v>35</v>
      </c>
    </row>
    <row r="651" ht="14.25" customHeight="1">
      <c r="H651" s="1" t="s">
        <v>35</v>
      </c>
      <c r="I651" s="1" t="s">
        <v>35</v>
      </c>
      <c r="J651" s="1" t="s">
        <v>35</v>
      </c>
    </row>
    <row r="652" ht="14.25" customHeight="1">
      <c r="H652" s="1" t="s">
        <v>35</v>
      </c>
      <c r="I652" s="1" t="s">
        <v>35</v>
      </c>
      <c r="J652" s="1" t="s">
        <v>35</v>
      </c>
    </row>
    <row r="653" ht="14.25" customHeight="1">
      <c r="H653" s="1" t="s">
        <v>35</v>
      </c>
      <c r="I653" s="1" t="s">
        <v>35</v>
      </c>
      <c r="J653" s="1" t="s">
        <v>35</v>
      </c>
    </row>
    <row r="654" ht="14.25" customHeight="1">
      <c r="H654" s="1" t="s">
        <v>35</v>
      </c>
      <c r="I654" s="1" t="s">
        <v>35</v>
      </c>
      <c r="J654" s="1" t="s">
        <v>35</v>
      </c>
    </row>
    <row r="655" ht="14.25" customHeight="1">
      <c r="H655" s="1" t="s">
        <v>35</v>
      </c>
      <c r="I655" s="1" t="s">
        <v>35</v>
      </c>
      <c r="J655" s="1" t="s">
        <v>35</v>
      </c>
    </row>
    <row r="656" ht="14.25" customHeight="1">
      <c r="H656" s="1" t="s">
        <v>35</v>
      </c>
      <c r="I656" s="1" t="s">
        <v>35</v>
      </c>
      <c r="J656" s="1" t="s">
        <v>35</v>
      </c>
    </row>
    <row r="657" ht="14.25" customHeight="1">
      <c r="H657" s="1" t="s">
        <v>35</v>
      </c>
      <c r="I657" s="1" t="s">
        <v>35</v>
      </c>
      <c r="J657" s="1" t="s">
        <v>35</v>
      </c>
    </row>
    <row r="658" ht="14.25" customHeight="1">
      <c r="H658" s="1" t="s">
        <v>35</v>
      </c>
      <c r="I658" s="1" t="s">
        <v>35</v>
      </c>
      <c r="J658" s="1" t="s">
        <v>35</v>
      </c>
    </row>
    <row r="659" ht="14.25" customHeight="1">
      <c r="H659" s="1" t="s">
        <v>35</v>
      </c>
      <c r="I659" s="1" t="s">
        <v>35</v>
      </c>
      <c r="J659" s="1" t="s">
        <v>35</v>
      </c>
    </row>
    <row r="660" ht="14.25" customHeight="1">
      <c r="H660" s="1" t="s">
        <v>35</v>
      </c>
      <c r="I660" s="1" t="s">
        <v>35</v>
      </c>
      <c r="J660" s="1" t="s">
        <v>35</v>
      </c>
    </row>
    <row r="661" ht="14.25" customHeight="1">
      <c r="H661" s="1" t="s">
        <v>35</v>
      </c>
      <c r="I661" s="1" t="s">
        <v>35</v>
      </c>
      <c r="J661" s="1" t="s">
        <v>35</v>
      </c>
    </row>
    <row r="662" ht="14.25" customHeight="1">
      <c r="H662" s="1" t="s">
        <v>35</v>
      </c>
      <c r="I662" s="1" t="s">
        <v>35</v>
      </c>
      <c r="J662" s="1" t="s">
        <v>35</v>
      </c>
    </row>
    <row r="663" ht="14.25" customHeight="1">
      <c r="H663" s="1" t="s">
        <v>35</v>
      </c>
      <c r="I663" s="1" t="s">
        <v>35</v>
      </c>
      <c r="J663" s="1" t="s">
        <v>35</v>
      </c>
    </row>
    <row r="664" ht="14.25" customHeight="1">
      <c r="H664" s="1" t="s">
        <v>35</v>
      </c>
      <c r="I664" s="1" t="s">
        <v>35</v>
      </c>
      <c r="J664" s="1" t="s">
        <v>35</v>
      </c>
    </row>
    <row r="665" ht="14.25" customHeight="1">
      <c r="H665" s="1" t="s">
        <v>35</v>
      </c>
      <c r="I665" s="1" t="s">
        <v>35</v>
      </c>
      <c r="J665" s="1" t="s">
        <v>35</v>
      </c>
    </row>
    <row r="666" ht="14.25" customHeight="1">
      <c r="H666" s="1" t="s">
        <v>35</v>
      </c>
      <c r="I666" s="1" t="s">
        <v>35</v>
      </c>
      <c r="J666" s="1" t="s">
        <v>35</v>
      </c>
    </row>
    <row r="667" ht="14.25" customHeight="1">
      <c r="H667" s="1" t="s">
        <v>35</v>
      </c>
      <c r="I667" s="1" t="s">
        <v>35</v>
      </c>
      <c r="J667" s="1" t="s">
        <v>35</v>
      </c>
    </row>
    <row r="668" ht="14.25" customHeight="1">
      <c r="H668" s="1" t="s">
        <v>35</v>
      </c>
      <c r="I668" s="1" t="s">
        <v>35</v>
      </c>
      <c r="J668" s="1" t="s">
        <v>35</v>
      </c>
    </row>
    <row r="669" ht="14.25" customHeight="1">
      <c r="H669" s="1" t="s">
        <v>35</v>
      </c>
      <c r="I669" s="1" t="s">
        <v>35</v>
      </c>
      <c r="J669" s="1" t="s">
        <v>35</v>
      </c>
    </row>
    <row r="670" ht="14.25" customHeight="1">
      <c r="H670" s="1" t="s">
        <v>35</v>
      </c>
      <c r="I670" s="1" t="s">
        <v>35</v>
      </c>
      <c r="J670" s="1" t="s">
        <v>35</v>
      </c>
    </row>
    <row r="671" ht="14.25" customHeight="1">
      <c r="H671" s="1" t="s">
        <v>35</v>
      </c>
      <c r="I671" s="1" t="s">
        <v>35</v>
      </c>
      <c r="J671" s="1" t="s">
        <v>35</v>
      </c>
    </row>
    <row r="672" ht="14.25" customHeight="1">
      <c r="H672" s="1" t="s">
        <v>35</v>
      </c>
      <c r="I672" s="1" t="s">
        <v>35</v>
      </c>
      <c r="J672" s="1" t="s">
        <v>35</v>
      </c>
    </row>
    <row r="673" ht="14.25" customHeight="1">
      <c r="H673" s="1" t="s">
        <v>35</v>
      </c>
      <c r="I673" s="1" t="s">
        <v>35</v>
      </c>
      <c r="J673" s="1" t="s">
        <v>35</v>
      </c>
    </row>
    <row r="674" ht="14.25" customHeight="1">
      <c r="H674" s="1" t="s">
        <v>35</v>
      </c>
      <c r="I674" s="1" t="s">
        <v>35</v>
      </c>
      <c r="J674" s="1" t="s">
        <v>35</v>
      </c>
    </row>
    <row r="675" ht="14.25" customHeight="1">
      <c r="H675" s="1" t="s">
        <v>35</v>
      </c>
      <c r="I675" s="1" t="s">
        <v>35</v>
      </c>
      <c r="J675" s="1" t="s">
        <v>35</v>
      </c>
    </row>
    <row r="676" ht="14.25" customHeight="1">
      <c r="H676" s="1" t="s">
        <v>35</v>
      </c>
      <c r="I676" s="1" t="s">
        <v>35</v>
      </c>
      <c r="J676" s="1" t="s">
        <v>35</v>
      </c>
    </row>
    <row r="677" ht="14.25" customHeight="1">
      <c r="H677" s="1" t="s">
        <v>35</v>
      </c>
      <c r="I677" s="1" t="s">
        <v>35</v>
      </c>
      <c r="J677" s="1" t="s">
        <v>35</v>
      </c>
    </row>
    <row r="678" ht="14.25" customHeight="1">
      <c r="H678" s="1" t="s">
        <v>35</v>
      </c>
      <c r="I678" s="1" t="s">
        <v>35</v>
      </c>
      <c r="J678" s="1" t="s">
        <v>35</v>
      </c>
    </row>
    <row r="679" ht="14.25" customHeight="1">
      <c r="H679" s="1" t="s">
        <v>35</v>
      </c>
      <c r="I679" s="1" t="s">
        <v>35</v>
      </c>
      <c r="J679" s="1" t="s">
        <v>35</v>
      </c>
    </row>
    <row r="680" ht="14.25" customHeight="1">
      <c r="H680" s="1" t="s">
        <v>35</v>
      </c>
      <c r="I680" s="1" t="s">
        <v>35</v>
      </c>
      <c r="J680" s="1" t="s">
        <v>35</v>
      </c>
    </row>
    <row r="681" ht="14.25" customHeight="1">
      <c r="H681" s="1" t="s">
        <v>35</v>
      </c>
      <c r="I681" s="1" t="s">
        <v>35</v>
      </c>
      <c r="J681" s="1" t="s">
        <v>35</v>
      </c>
    </row>
    <row r="682" ht="14.25" customHeight="1">
      <c r="H682" s="1" t="s">
        <v>35</v>
      </c>
      <c r="I682" s="1" t="s">
        <v>35</v>
      </c>
      <c r="J682" s="1" t="s">
        <v>35</v>
      </c>
    </row>
    <row r="683" ht="14.25" customHeight="1">
      <c r="H683" s="1" t="s">
        <v>35</v>
      </c>
      <c r="I683" s="1" t="s">
        <v>35</v>
      </c>
      <c r="J683" s="1" t="s">
        <v>35</v>
      </c>
    </row>
    <row r="684" ht="14.25" customHeight="1">
      <c r="H684" s="1" t="s">
        <v>35</v>
      </c>
      <c r="I684" s="1" t="s">
        <v>35</v>
      </c>
      <c r="J684" s="1" t="s">
        <v>35</v>
      </c>
    </row>
    <row r="685" ht="14.25" customHeight="1">
      <c r="H685" s="1" t="s">
        <v>35</v>
      </c>
      <c r="I685" s="1" t="s">
        <v>35</v>
      </c>
      <c r="J685" s="1" t="s">
        <v>35</v>
      </c>
    </row>
    <row r="686" ht="14.25" customHeight="1">
      <c r="H686" s="1" t="s">
        <v>35</v>
      </c>
      <c r="I686" s="1" t="s">
        <v>35</v>
      </c>
      <c r="J686" s="1" t="s">
        <v>35</v>
      </c>
    </row>
    <row r="687" ht="14.25" customHeight="1">
      <c r="H687" s="1" t="s">
        <v>35</v>
      </c>
      <c r="I687" s="1" t="s">
        <v>35</v>
      </c>
      <c r="J687" s="1" t="s">
        <v>35</v>
      </c>
    </row>
    <row r="688" ht="14.25" customHeight="1">
      <c r="H688" s="1" t="s">
        <v>35</v>
      </c>
      <c r="I688" s="1" t="s">
        <v>35</v>
      </c>
      <c r="J688" s="1" t="s">
        <v>35</v>
      </c>
    </row>
    <row r="689" ht="14.25" customHeight="1">
      <c r="H689" s="1" t="s">
        <v>35</v>
      </c>
      <c r="I689" s="1" t="s">
        <v>35</v>
      </c>
      <c r="J689" s="1" t="s">
        <v>35</v>
      </c>
    </row>
    <row r="690" ht="14.25" customHeight="1">
      <c r="H690" s="1" t="s">
        <v>35</v>
      </c>
      <c r="I690" s="1" t="s">
        <v>35</v>
      </c>
      <c r="J690" s="1" t="s">
        <v>35</v>
      </c>
    </row>
    <row r="691" ht="14.25" customHeight="1">
      <c r="H691" s="1" t="s">
        <v>35</v>
      </c>
      <c r="I691" s="1" t="s">
        <v>35</v>
      </c>
      <c r="J691" s="1" t="s">
        <v>35</v>
      </c>
    </row>
    <row r="692" ht="14.25" customHeight="1">
      <c r="H692" s="1" t="s">
        <v>35</v>
      </c>
      <c r="I692" s="1" t="s">
        <v>35</v>
      </c>
      <c r="J692" s="1" t="s">
        <v>35</v>
      </c>
    </row>
    <row r="693" ht="14.25" customHeight="1">
      <c r="H693" s="1" t="s">
        <v>35</v>
      </c>
      <c r="I693" s="1" t="s">
        <v>35</v>
      </c>
      <c r="J693" s="1" t="s">
        <v>35</v>
      </c>
    </row>
    <row r="694" ht="14.25" customHeight="1">
      <c r="H694" s="1" t="s">
        <v>35</v>
      </c>
      <c r="I694" s="1" t="s">
        <v>35</v>
      </c>
      <c r="J694" s="1" t="s">
        <v>35</v>
      </c>
    </row>
    <row r="695" ht="14.25" customHeight="1">
      <c r="H695" s="1" t="s">
        <v>35</v>
      </c>
      <c r="I695" s="1" t="s">
        <v>35</v>
      </c>
      <c r="J695" s="1" t="s">
        <v>35</v>
      </c>
    </row>
    <row r="696" ht="14.25" customHeight="1">
      <c r="H696" s="1" t="s">
        <v>35</v>
      </c>
      <c r="I696" s="1" t="s">
        <v>35</v>
      </c>
      <c r="J696" s="1" t="s">
        <v>35</v>
      </c>
    </row>
    <row r="697" ht="14.25" customHeight="1">
      <c r="H697" s="1" t="s">
        <v>35</v>
      </c>
      <c r="I697" s="1" t="s">
        <v>35</v>
      </c>
      <c r="J697" s="1" t="s">
        <v>35</v>
      </c>
    </row>
    <row r="698" ht="14.25" customHeight="1">
      <c r="H698" s="1" t="s">
        <v>35</v>
      </c>
      <c r="I698" s="1" t="s">
        <v>35</v>
      </c>
      <c r="J698" s="1" t="s">
        <v>35</v>
      </c>
    </row>
    <row r="699" ht="14.25" customHeight="1">
      <c r="H699" s="1" t="s">
        <v>35</v>
      </c>
      <c r="I699" s="1" t="s">
        <v>35</v>
      </c>
      <c r="J699" s="1" t="s">
        <v>35</v>
      </c>
    </row>
    <row r="700" ht="14.25" customHeight="1">
      <c r="H700" s="1" t="s">
        <v>35</v>
      </c>
      <c r="I700" s="1" t="s">
        <v>35</v>
      </c>
      <c r="J700" s="1" t="s">
        <v>35</v>
      </c>
    </row>
    <row r="701" ht="14.25" customHeight="1">
      <c r="H701" s="1" t="s">
        <v>35</v>
      </c>
      <c r="I701" s="1" t="s">
        <v>35</v>
      </c>
      <c r="J701" s="1" t="s">
        <v>35</v>
      </c>
    </row>
    <row r="702" ht="14.25" customHeight="1">
      <c r="H702" s="1" t="s">
        <v>35</v>
      </c>
      <c r="I702" s="1" t="s">
        <v>35</v>
      </c>
      <c r="J702" s="1" t="s">
        <v>35</v>
      </c>
    </row>
    <row r="703" ht="14.25" customHeight="1">
      <c r="H703" s="1" t="s">
        <v>35</v>
      </c>
      <c r="I703" s="1" t="s">
        <v>35</v>
      </c>
      <c r="J703" s="1" t="s">
        <v>35</v>
      </c>
    </row>
    <row r="704" ht="14.25" customHeight="1">
      <c r="H704" s="1" t="s">
        <v>35</v>
      </c>
      <c r="I704" s="1" t="s">
        <v>35</v>
      </c>
      <c r="J704" s="1" t="s">
        <v>35</v>
      </c>
    </row>
    <row r="705" ht="14.25" customHeight="1">
      <c r="H705" s="1" t="s">
        <v>35</v>
      </c>
      <c r="I705" s="1" t="s">
        <v>35</v>
      </c>
      <c r="J705" s="1" t="s">
        <v>35</v>
      </c>
    </row>
    <row r="706" ht="14.25" customHeight="1">
      <c r="H706" s="1" t="s">
        <v>35</v>
      </c>
      <c r="I706" s="1" t="s">
        <v>35</v>
      </c>
      <c r="J706" s="1" t="s">
        <v>35</v>
      </c>
    </row>
    <row r="707" ht="14.25" customHeight="1">
      <c r="H707" s="1" t="s">
        <v>35</v>
      </c>
      <c r="I707" s="1" t="s">
        <v>35</v>
      </c>
      <c r="J707" s="1" t="s">
        <v>35</v>
      </c>
    </row>
    <row r="708" ht="14.25" customHeight="1">
      <c r="H708" s="1" t="s">
        <v>35</v>
      </c>
      <c r="I708" s="1" t="s">
        <v>35</v>
      </c>
      <c r="J708" s="1" t="s">
        <v>35</v>
      </c>
    </row>
    <row r="709" ht="14.25" customHeight="1">
      <c r="H709" s="1" t="s">
        <v>35</v>
      </c>
      <c r="I709" s="1" t="s">
        <v>35</v>
      </c>
      <c r="J709" s="1" t="s">
        <v>35</v>
      </c>
    </row>
    <row r="710" ht="14.25" customHeight="1">
      <c r="H710" s="1" t="s">
        <v>35</v>
      </c>
      <c r="I710" s="1" t="s">
        <v>35</v>
      </c>
      <c r="J710" s="1" t="s">
        <v>35</v>
      </c>
    </row>
    <row r="711" ht="14.25" customHeight="1">
      <c r="H711" s="1" t="s">
        <v>35</v>
      </c>
      <c r="I711" s="1" t="s">
        <v>35</v>
      </c>
      <c r="J711" s="1" t="s">
        <v>35</v>
      </c>
    </row>
    <row r="712" ht="14.25" customHeight="1">
      <c r="H712" s="1" t="s">
        <v>35</v>
      </c>
      <c r="I712" s="1" t="s">
        <v>35</v>
      </c>
      <c r="J712" s="1" t="s">
        <v>35</v>
      </c>
    </row>
    <row r="713" ht="14.25" customHeight="1">
      <c r="H713" s="1" t="s">
        <v>35</v>
      </c>
      <c r="I713" s="1" t="s">
        <v>35</v>
      </c>
      <c r="J713" s="1" t="s">
        <v>35</v>
      </c>
    </row>
    <row r="714" ht="14.25" customHeight="1">
      <c r="H714" s="1" t="s">
        <v>35</v>
      </c>
      <c r="I714" s="1" t="s">
        <v>35</v>
      </c>
      <c r="J714" s="1" t="s">
        <v>35</v>
      </c>
    </row>
    <row r="715" ht="14.25" customHeight="1">
      <c r="H715" s="1" t="s">
        <v>35</v>
      </c>
      <c r="I715" s="1" t="s">
        <v>35</v>
      </c>
      <c r="J715" s="1" t="s">
        <v>35</v>
      </c>
    </row>
    <row r="716" ht="14.25" customHeight="1">
      <c r="H716" s="1" t="s">
        <v>35</v>
      </c>
      <c r="I716" s="1" t="s">
        <v>35</v>
      </c>
      <c r="J716" s="1" t="s">
        <v>35</v>
      </c>
    </row>
    <row r="717" ht="14.25" customHeight="1">
      <c r="H717" s="1" t="s">
        <v>35</v>
      </c>
      <c r="I717" s="1" t="s">
        <v>35</v>
      </c>
      <c r="J717" s="1" t="s">
        <v>35</v>
      </c>
    </row>
    <row r="718" ht="14.25" customHeight="1">
      <c r="H718" s="1" t="s">
        <v>35</v>
      </c>
      <c r="I718" s="1" t="s">
        <v>35</v>
      </c>
      <c r="J718" s="1" t="s">
        <v>35</v>
      </c>
    </row>
    <row r="719" ht="14.25" customHeight="1">
      <c r="H719" s="1" t="s">
        <v>35</v>
      </c>
      <c r="I719" s="1" t="s">
        <v>35</v>
      </c>
      <c r="J719" s="1" t="s">
        <v>35</v>
      </c>
    </row>
    <row r="720" ht="14.25" customHeight="1">
      <c r="H720" s="1" t="s">
        <v>35</v>
      </c>
      <c r="I720" s="1" t="s">
        <v>35</v>
      </c>
      <c r="J720" s="1" t="s">
        <v>35</v>
      </c>
    </row>
    <row r="721" ht="14.25" customHeight="1">
      <c r="H721" s="1" t="s">
        <v>35</v>
      </c>
      <c r="I721" s="1" t="s">
        <v>35</v>
      </c>
      <c r="J721" s="1" t="s">
        <v>35</v>
      </c>
    </row>
    <row r="722" ht="14.25" customHeight="1">
      <c r="H722" s="1" t="s">
        <v>35</v>
      </c>
      <c r="I722" s="1" t="s">
        <v>35</v>
      </c>
      <c r="J722" s="1" t="s">
        <v>35</v>
      </c>
    </row>
    <row r="723" ht="14.25" customHeight="1">
      <c r="H723" s="1" t="s">
        <v>35</v>
      </c>
      <c r="I723" s="1" t="s">
        <v>35</v>
      </c>
      <c r="J723" s="1" t="s">
        <v>35</v>
      </c>
    </row>
    <row r="724" ht="14.25" customHeight="1">
      <c r="H724" s="1" t="s">
        <v>35</v>
      </c>
      <c r="I724" s="1" t="s">
        <v>35</v>
      </c>
      <c r="J724" s="1" t="s">
        <v>35</v>
      </c>
    </row>
    <row r="725" ht="14.25" customHeight="1">
      <c r="H725" s="1" t="s">
        <v>35</v>
      </c>
      <c r="I725" s="1" t="s">
        <v>35</v>
      </c>
      <c r="J725" s="1" t="s">
        <v>35</v>
      </c>
    </row>
    <row r="726" ht="14.25" customHeight="1">
      <c r="H726" s="1" t="s">
        <v>35</v>
      </c>
      <c r="I726" s="1" t="s">
        <v>35</v>
      </c>
      <c r="J726" s="1" t="s">
        <v>35</v>
      </c>
    </row>
    <row r="727" ht="14.25" customHeight="1">
      <c r="H727" s="1" t="s">
        <v>35</v>
      </c>
      <c r="I727" s="1" t="s">
        <v>35</v>
      </c>
      <c r="J727" s="1" t="s">
        <v>35</v>
      </c>
    </row>
    <row r="728" ht="14.25" customHeight="1">
      <c r="H728" s="1" t="s">
        <v>35</v>
      </c>
      <c r="I728" s="1" t="s">
        <v>35</v>
      </c>
      <c r="J728" s="1" t="s">
        <v>35</v>
      </c>
    </row>
    <row r="729" ht="14.25" customHeight="1">
      <c r="H729" s="1" t="s">
        <v>35</v>
      </c>
      <c r="I729" s="1" t="s">
        <v>35</v>
      </c>
      <c r="J729" s="1" t="s">
        <v>35</v>
      </c>
    </row>
    <row r="730" ht="14.25" customHeight="1">
      <c r="H730" s="1" t="s">
        <v>35</v>
      </c>
      <c r="I730" s="1" t="s">
        <v>35</v>
      </c>
      <c r="J730" s="1" t="s">
        <v>35</v>
      </c>
    </row>
    <row r="731" ht="14.25" customHeight="1">
      <c r="H731" s="1" t="s">
        <v>35</v>
      </c>
      <c r="I731" s="1" t="s">
        <v>35</v>
      </c>
      <c r="J731" s="1" t="s">
        <v>35</v>
      </c>
    </row>
    <row r="732" ht="14.25" customHeight="1">
      <c r="H732" s="1" t="s">
        <v>35</v>
      </c>
      <c r="I732" s="1" t="s">
        <v>35</v>
      </c>
      <c r="J732" s="1" t="s">
        <v>35</v>
      </c>
    </row>
    <row r="733" ht="14.25" customHeight="1">
      <c r="H733" s="1" t="s">
        <v>35</v>
      </c>
      <c r="I733" s="1" t="s">
        <v>35</v>
      </c>
      <c r="J733" s="1" t="s">
        <v>35</v>
      </c>
    </row>
    <row r="734" ht="14.25" customHeight="1">
      <c r="H734" s="1" t="s">
        <v>35</v>
      </c>
      <c r="I734" s="1" t="s">
        <v>35</v>
      </c>
      <c r="J734" s="1" t="s">
        <v>35</v>
      </c>
    </row>
    <row r="735" ht="14.25" customHeight="1">
      <c r="H735" s="1" t="s">
        <v>35</v>
      </c>
      <c r="I735" s="1" t="s">
        <v>35</v>
      </c>
      <c r="J735" s="1" t="s">
        <v>35</v>
      </c>
    </row>
    <row r="736" ht="14.25" customHeight="1">
      <c r="H736" s="1" t="s">
        <v>35</v>
      </c>
      <c r="I736" s="1" t="s">
        <v>35</v>
      </c>
      <c r="J736" s="1" t="s">
        <v>35</v>
      </c>
    </row>
    <row r="737" ht="14.25" customHeight="1">
      <c r="H737" s="1" t="s">
        <v>35</v>
      </c>
      <c r="I737" s="1" t="s">
        <v>35</v>
      </c>
      <c r="J737" s="1" t="s">
        <v>35</v>
      </c>
    </row>
    <row r="738" ht="14.25" customHeight="1">
      <c r="H738" s="1" t="s">
        <v>35</v>
      </c>
      <c r="I738" s="1" t="s">
        <v>35</v>
      </c>
      <c r="J738" s="1" t="s">
        <v>35</v>
      </c>
    </row>
    <row r="739" ht="14.25" customHeight="1">
      <c r="H739" s="1" t="s">
        <v>35</v>
      </c>
      <c r="I739" s="1" t="s">
        <v>35</v>
      </c>
      <c r="J739" s="1" t="s">
        <v>35</v>
      </c>
    </row>
    <row r="740" ht="14.25" customHeight="1">
      <c r="H740" s="1" t="s">
        <v>35</v>
      </c>
      <c r="I740" s="1" t="s">
        <v>35</v>
      </c>
      <c r="J740" s="1" t="s">
        <v>35</v>
      </c>
    </row>
    <row r="741" ht="14.25" customHeight="1">
      <c r="H741" s="1" t="s">
        <v>35</v>
      </c>
      <c r="I741" s="1" t="s">
        <v>35</v>
      </c>
      <c r="J741" s="1" t="s">
        <v>35</v>
      </c>
    </row>
    <row r="742" ht="14.25" customHeight="1">
      <c r="H742" s="1" t="s">
        <v>35</v>
      </c>
      <c r="I742" s="1" t="s">
        <v>35</v>
      </c>
      <c r="J742" s="1" t="s">
        <v>35</v>
      </c>
    </row>
    <row r="743" ht="14.25" customHeight="1">
      <c r="H743" s="1" t="s">
        <v>35</v>
      </c>
      <c r="I743" s="1" t="s">
        <v>35</v>
      </c>
      <c r="J743" s="1" t="s">
        <v>35</v>
      </c>
    </row>
    <row r="744" ht="14.25" customHeight="1">
      <c r="H744" s="1" t="s">
        <v>35</v>
      </c>
      <c r="I744" s="1" t="s">
        <v>35</v>
      </c>
      <c r="J744" s="1" t="s">
        <v>35</v>
      </c>
    </row>
    <row r="745" ht="14.25" customHeight="1">
      <c r="H745" s="1" t="s">
        <v>35</v>
      </c>
      <c r="I745" s="1" t="s">
        <v>35</v>
      </c>
      <c r="J745" s="1" t="s">
        <v>35</v>
      </c>
    </row>
    <row r="746" ht="14.25" customHeight="1">
      <c r="H746" s="1" t="s">
        <v>35</v>
      </c>
      <c r="I746" s="1" t="s">
        <v>35</v>
      </c>
      <c r="J746" s="1" t="s">
        <v>35</v>
      </c>
    </row>
    <row r="747" ht="14.25" customHeight="1">
      <c r="H747" s="1" t="s">
        <v>35</v>
      </c>
      <c r="I747" s="1" t="s">
        <v>35</v>
      </c>
      <c r="J747" s="1" t="s">
        <v>35</v>
      </c>
    </row>
    <row r="748" ht="14.25" customHeight="1">
      <c r="H748" s="1" t="s">
        <v>35</v>
      </c>
      <c r="I748" s="1" t="s">
        <v>35</v>
      </c>
      <c r="J748" s="1" t="s">
        <v>35</v>
      </c>
    </row>
    <row r="749" ht="14.25" customHeight="1">
      <c r="H749" s="1" t="s">
        <v>35</v>
      </c>
      <c r="I749" s="1" t="s">
        <v>35</v>
      </c>
      <c r="J749" s="1" t="s">
        <v>35</v>
      </c>
    </row>
    <row r="750" ht="14.25" customHeight="1">
      <c r="H750" s="1" t="s">
        <v>35</v>
      </c>
      <c r="I750" s="1" t="s">
        <v>35</v>
      </c>
      <c r="J750" s="1" t="s">
        <v>35</v>
      </c>
    </row>
    <row r="751" ht="14.25" customHeight="1">
      <c r="H751" s="1" t="s">
        <v>35</v>
      </c>
      <c r="I751" s="1" t="s">
        <v>35</v>
      </c>
      <c r="J751" s="1" t="s">
        <v>35</v>
      </c>
    </row>
    <row r="752" ht="14.25" customHeight="1">
      <c r="H752" s="1" t="s">
        <v>35</v>
      </c>
      <c r="I752" s="1" t="s">
        <v>35</v>
      </c>
      <c r="J752" s="1" t="s">
        <v>35</v>
      </c>
    </row>
    <row r="753" ht="14.25" customHeight="1">
      <c r="H753" s="1" t="s">
        <v>35</v>
      </c>
      <c r="I753" s="1" t="s">
        <v>35</v>
      </c>
      <c r="J753" s="1" t="s">
        <v>35</v>
      </c>
    </row>
    <row r="754" ht="14.25" customHeight="1">
      <c r="H754" s="1" t="s">
        <v>35</v>
      </c>
      <c r="I754" s="1" t="s">
        <v>35</v>
      </c>
      <c r="J754" s="1" t="s">
        <v>35</v>
      </c>
    </row>
    <row r="755" ht="14.25" customHeight="1">
      <c r="H755" s="1" t="s">
        <v>35</v>
      </c>
      <c r="I755" s="1" t="s">
        <v>35</v>
      </c>
      <c r="J755" s="1" t="s">
        <v>35</v>
      </c>
    </row>
    <row r="756" ht="14.25" customHeight="1">
      <c r="H756" s="1" t="s">
        <v>35</v>
      </c>
      <c r="I756" s="1" t="s">
        <v>35</v>
      </c>
      <c r="J756" s="1" t="s">
        <v>35</v>
      </c>
    </row>
    <row r="757" ht="14.25" customHeight="1">
      <c r="H757" s="1" t="s">
        <v>35</v>
      </c>
      <c r="I757" s="1" t="s">
        <v>35</v>
      </c>
      <c r="J757" s="1" t="s">
        <v>35</v>
      </c>
    </row>
    <row r="758" ht="14.25" customHeight="1">
      <c r="H758" s="1" t="s">
        <v>35</v>
      </c>
      <c r="I758" s="1" t="s">
        <v>35</v>
      </c>
      <c r="J758" s="1" t="s">
        <v>35</v>
      </c>
    </row>
    <row r="759" ht="14.25" customHeight="1">
      <c r="H759" s="1" t="s">
        <v>35</v>
      </c>
      <c r="I759" s="1" t="s">
        <v>35</v>
      </c>
      <c r="J759" s="1" t="s">
        <v>35</v>
      </c>
    </row>
    <row r="760" ht="14.25" customHeight="1">
      <c r="H760" s="1" t="s">
        <v>35</v>
      </c>
      <c r="I760" s="1" t="s">
        <v>35</v>
      </c>
      <c r="J760" s="1" t="s">
        <v>35</v>
      </c>
    </row>
    <row r="761" ht="14.25" customHeight="1">
      <c r="H761" s="1" t="s">
        <v>35</v>
      </c>
      <c r="I761" s="1" t="s">
        <v>35</v>
      </c>
      <c r="J761" s="1" t="s">
        <v>35</v>
      </c>
    </row>
    <row r="762" ht="14.25" customHeight="1">
      <c r="H762" s="1" t="s">
        <v>35</v>
      </c>
      <c r="I762" s="1" t="s">
        <v>35</v>
      </c>
      <c r="J762" s="1" t="s">
        <v>35</v>
      </c>
    </row>
    <row r="763" ht="14.25" customHeight="1">
      <c r="H763" s="1" t="s">
        <v>35</v>
      </c>
      <c r="I763" s="1" t="s">
        <v>35</v>
      </c>
      <c r="J763" s="1" t="s">
        <v>35</v>
      </c>
    </row>
    <row r="764" ht="14.25" customHeight="1">
      <c r="H764" s="1" t="s">
        <v>35</v>
      </c>
      <c r="I764" s="1" t="s">
        <v>35</v>
      </c>
      <c r="J764" s="1" t="s">
        <v>35</v>
      </c>
    </row>
    <row r="765" ht="14.25" customHeight="1">
      <c r="H765" s="1" t="s">
        <v>35</v>
      </c>
      <c r="I765" s="1" t="s">
        <v>35</v>
      </c>
      <c r="J765" s="1" t="s">
        <v>35</v>
      </c>
    </row>
    <row r="766" ht="14.25" customHeight="1">
      <c r="H766" s="1" t="s">
        <v>35</v>
      </c>
      <c r="I766" s="1" t="s">
        <v>35</v>
      </c>
      <c r="J766" s="1" t="s">
        <v>35</v>
      </c>
    </row>
    <row r="767" ht="14.25" customHeight="1">
      <c r="H767" s="1" t="s">
        <v>35</v>
      </c>
      <c r="I767" s="1" t="s">
        <v>35</v>
      </c>
      <c r="J767" s="1" t="s">
        <v>35</v>
      </c>
    </row>
    <row r="768" ht="14.25" customHeight="1">
      <c r="H768" s="1" t="s">
        <v>35</v>
      </c>
      <c r="I768" s="1" t="s">
        <v>35</v>
      </c>
      <c r="J768" s="1" t="s">
        <v>35</v>
      </c>
    </row>
    <row r="769" ht="14.25" customHeight="1">
      <c r="H769" s="1" t="s">
        <v>35</v>
      </c>
      <c r="I769" s="1" t="s">
        <v>35</v>
      </c>
      <c r="J769" s="1" t="s">
        <v>35</v>
      </c>
    </row>
    <row r="770" ht="14.25" customHeight="1">
      <c r="H770" s="1" t="s">
        <v>35</v>
      </c>
      <c r="I770" s="1" t="s">
        <v>35</v>
      </c>
      <c r="J770" s="1" t="s">
        <v>35</v>
      </c>
    </row>
    <row r="771" ht="14.25" customHeight="1">
      <c r="H771" s="1" t="s">
        <v>35</v>
      </c>
      <c r="I771" s="1" t="s">
        <v>35</v>
      </c>
      <c r="J771" s="1" t="s">
        <v>35</v>
      </c>
    </row>
    <row r="772" ht="14.25" customHeight="1">
      <c r="H772" s="1" t="s">
        <v>35</v>
      </c>
      <c r="I772" s="1" t="s">
        <v>35</v>
      </c>
      <c r="J772" s="1" t="s">
        <v>35</v>
      </c>
    </row>
    <row r="773" ht="14.25" customHeight="1">
      <c r="H773" s="1" t="s">
        <v>35</v>
      </c>
      <c r="I773" s="1" t="s">
        <v>35</v>
      </c>
      <c r="J773" s="1" t="s">
        <v>35</v>
      </c>
    </row>
    <row r="774" ht="14.25" customHeight="1">
      <c r="H774" s="1" t="s">
        <v>35</v>
      </c>
      <c r="I774" s="1" t="s">
        <v>35</v>
      </c>
      <c r="J774" s="1" t="s">
        <v>35</v>
      </c>
    </row>
    <row r="775" ht="14.25" customHeight="1">
      <c r="H775" s="1" t="s">
        <v>35</v>
      </c>
      <c r="I775" s="1" t="s">
        <v>35</v>
      </c>
      <c r="J775" s="1" t="s">
        <v>35</v>
      </c>
    </row>
    <row r="776" ht="14.25" customHeight="1">
      <c r="H776" s="1" t="s">
        <v>35</v>
      </c>
      <c r="I776" s="1" t="s">
        <v>35</v>
      </c>
      <c r="J776" s="1" t="s">
        <v>35</v>
      </c>
    </row>
    <row r="777" ht="14.25" customHeight="1">
      <c r="H777" s="1" t="s">
        <v>35</v>
      </c>
      <c r="I777" s="1" t="s">
        <v>35</v>
      </c>
      <c r="J777" s="1" t="s">
        <v>35</v>
      </c>
    </row>
    <row r="778" ht="14.25" customHeight="1">
      <c r="H778" s="1" t="s">
        <v>35</v>
      </c>
      <c r="I778" s="1" t="s">
        <v>35</v>
      </c>
      <c r="J778" s="1" t="s">
        <v>35</v>
      </c>
    </row>
    <row r="779" ht="14.25" customHeight="1">
      <c r="H779" s="1" t="s">
        <v>35</v>
      </c>
      <c r="I779" s="1" t="s">
        <v>35</v>
      </c>
      <c r="J779" s="1" t="s">
        <v>35</v>
      </c>
    </row>
    <row r="780" ht="14.25" customHeight="1">
      <c r="H780" s="1" t="s">
        <v>35</v>
      </c>
      <c r="I780" s="1" t="s">
        <v>35</v>
      </c>
      <c r="J780" s="1" t="s">
        <v>35</v>
      </c>
    </row>
    <row r="781" ht="14.25" customHeight="1">
      <c r="H781" s="1" t="s">
        <v>35</v>
      </c>
      <c r="I781" s="1" t="s">
        <v>35</v>
      </c>
      <c r="J781" s="1" t="s">
        <v>35</v>
      </c>
    </row>
    <row r="782" ht="14.25" customHeight="1">
      <c r="H782" s="1" t="s">
        <v>35</v>
      </c>
      <c r="I782" s="1" t="s">
        <v>35</v>
      </c>
      <c r="J782" s="1" t="s">
        <v>35</v>
      </c>
    </row>
    <row r="783" ht="14.25" customHeight="1">
      <c r="H783" s="1" t="s">
        <v>35</v>
      </c>
      <c r="I783" s="1" t="s">
        <v>35</v>
      </c>
      <c r="J783" s="1" t="s">
        <v>35</v>
      </c>
    </row>
    <row r="784" ht="14.25" customHeight="1">
      <c r="H784" s="1" t="s">
        <v>35</v>
      </c>
      <c r="I784" s="1" t="s">
        <v>35</v>
      </c>
      <c r="J784" s="1" t="s">
        <v>35</v>
      </c>
    </row>
    <row r="785" ht="14.25" customHeight="1">
      <c r="H785" s="1" t="s">
        <v>35</v>
      </c>
      <c r="I785" s="1" t="s">
        <v>35</v>
      </c>
      <c r="J785" s="1" t="s">
        <v>35</v>
      </c>
    </row>
    <row r="786" ht="14.25" customHeight="1">
      <c r="H786" s="1" t="s">
        <v>35</v>
      </c>
      <c r="I786" s="1" t="s">
        <v>35</v>
      </c>
      <c r="J786" s="1" t="s">
        <v>35</v>
      </c>
    </row>
    <row r="787" ht="14.25" customHeight="1">
      <c r="H787" s="1" t="s">
        <v>35</v>
      </c>
      <c r="I787" s="1" t="s">
        <v>35</v>
      </c>
      <c r="J787" s="1" t="s">
        <v>35</v>
      </c>
    </row>
    <row r="788" ht="14.25" customHeight="1">
      <c r="H788" s="1" t="s">
        <v>35</v>
      </c>
      <c r="I788" s="1" t="s">
        <v>35</v>
      </c>
      <c r="J788" s="1" t="s">
        <v>35</v>
      </c>
    </row>
    <row r="789" ht="14.25" customHeight="1">
      <c r="H789" s="1" t="s">
        <v>35</v>
      </c>
      <c r="I789" s="1" t="s">
        <v>35</v>
      </c>
      <c r="J789" s="1" t="s">
        <v>35</v>
      </c>
    </row>
    <row r="790" ht="14.25" customHeight="1">
      <c r="H790" s="1" t="s">
        <v>35</v>
      </c>
      <c r="I790" s="1" t="s">
        <v>35</v>
      </c>
      <c r="J790" s="1" t="s">
        <v>35</v>
      </c>
    </row>
    <row r="791" ht="14.25" customHeight="1">
      <c r="H791" s="1" t="s">
        <v>35</v>
      </c>
      <c r="I791" s="1" t="s">
        <v>35</v>
      </c>
      <c r="J791" s="1" t="s">
        <v>35</v>
      </c>
    </row>
    <row r="792" ht="14.25" customHeight="1">
      <c r="H792" s="1" t="s">
        <v>35</v>
      </c>
      <c r="I792" s="1" t="s">
        <v>35</v>
      </c>
      <c r="J792" s="1" t="s">
        <v>35</v>
      </c>
    </row>
    <row r="793" ht="14.25" customHeight="1">
      <c r="H793" s="1" t="s">
        <v>35</v>
      </c>
      <c r="I793" s="1" t="s">
        <v>35</v>
      </c>
      <c r="J793" s="1" t="s">
        <v>35</v>
      </c>
    </row>
    <row r="794" ht="14.25" customHeight="1">
      <c r="H794" s="1" t="s">
        <v>35</v>
      </c>
      <c r="I794" s="1" t="s">
        <v>35</v>
      </c>
      <c r="J794" s="1" t="s">
        <v>35</v>
      </c>
    </row>
    <row r="795" ht="14.25" customHeight="1">
      <c r="H795" s="1" t="s">
        <v>35</v>
      </c>
      <c r="I795" s="1" t="s">
        <v>35</v>
      </c>
      <c r="J795" s="1" t="s">
        <v>35</v>
      </c>
    </row>
    <row r="796" ht="14.25" customHeight="1">
      <c r="H796" s="1" t="s">
        <v>35</v>
      </c>
      <c r="I796" s="1" t="s">
        <v>35</v>
      </c>
      <c r="J796" s="1" t="s">
        <v>35</v>
      </c>
    </row>
    <row r="797" ht="14.25" customHeight="1">
      <c r="H797" s="1" t="s">
        <v>35</v>
      </c>
      <c r="I797" s="1" t="s">
        <v>35</v>
      </c>
      <c r="J797" s="1" t="s">
        <v>35</v>
      </c>
    </row>
    <row r="798" ht="14.25" customHeight="1">
      <c r="H798" s="1" t="s">
        <v>35</v>
      </c>
      <c r="I798" s="1" t="s">
        <v>35</v>
      </c>
      <c r="J798" s="1" t="s">
        <v>35</v>
      </c>
    </row>
    <row r="799" ht="14.25" customHeight="1">
      <c r="H799" s="1" t="s">
        <v>35</v>
      </c>
      <c r="I799" s="1" t="s">
        <v>35</v>
      </c>
      <c r="J799" s="1" t="s">
        <v>35</v>
      </c>
    </row>
    <row r="800" ht="14.25" customHeight="1">
      <c r="H800" s="1" t="s">
        <v>35</v>
      </c>
      <c r="I800" s="1" t="s">
        <v>35</v>
      </c>
      <c r="J800" s="1" t="s">
        <v>35</v>
      </c>
    </row>
    <row r="801" ht="14.25" customHeight="1">
      <c r="H801" s="1" t="s">
        <v>35</v>
      </c>
      <c r="I801" s="1" t="s">
        <v>35</v>
      </c>
      <c r="J801" s="1" t="s">
        <v>35</v>
      </c>
    </row>
    <row r="802" ht="14.25" customHeight="1">
      <c r="H802" s="1" t="s">
        <v>35</v>
      </c>
      <c r="I802" s="1" t="s">
        <v>35</v>
      </c>
      <c r="J802" s="1" t="s">
        <v>35</v>
      </c>
    </row>
    <row r="803" ht="14.25" customHeight="1">
      <c r="H803" s="1" t="s">
        <v>35</v>
      </c>
      <c r="I803" s="1" t="s">
        <v>35</v>
      </c>
      <c r="J803" s="1" t="s">
        <v>35</v>
      </c>
    </row>
    <row r="804" ht="14.25" customHeight="1">
      <c r="H804" s="1" t="s">
        <v>35</v>
      </c>
      <c r="I804" s="1" t="s">
        <v>35</v>
      </c>
      <c r="J804" s="1" t="s">
        <v>35</v>
      </c>
    </row>
    <row r="805" ht="14.25" customHeight="1">
      <c r="H805" s="1" t="s">
        <v>35</v>
      </c>
      <c r="I805" s="1" t="s">
        <v>35</v>
      </c>
      <c r="J805" s="1" t="s">
        <v>35</v>
      </c>
    </row>
    <row r="806" ht="14.25" customHeight="1">
      <c r="H806" s="1" t="s">
        <v>35</v>
      </c>
      <c r="I806" s="1" t="s">
        <v>35</v>
      </c>
      <c r="J806" s="1" t="s">
        <v>35</v>
      </c>
    </row>
    <row r="807" ht="14.25" customHeight="1">
      <c r="H807" s="1" t="s">
        <v>35</v>
      </c>
      <c r="I807" s="1" t="s">
        <v>35</v>
      </c>
      <c r="J807" s="1" t="s">
        <v>35</v>
      </c>
    </row>
    <row r="808" ht="14.25" customHeight="1">
      <c r="H808" s="1" t="s">
        <v>35</v>
      </c>
      <c r="I808" s="1" t="s">
        <v>35</v>
      </c>
      <c r="J808" s="1" t="s">
        <v>35</v>
      </c>
    </row>
    <row r="809" ht="14.25" customHeight="1">
      <c r="H809" s="1" t="s">
        <v>35</v>
      </c>
      <c r="I809" s="1" t="s">
        <v>35</v>
      </c>
      <c r="J809" s="1" t="s">
        <v>35</v>
      </c>
    </row>
    <row r="810" ht="14.25" customHeight="1">
      <c r="H810" s="1" t="s">
        <v>35</v>
      </c>
      <c r="I810" s="1" t="s">
        <v>35</v>
      </c>
      <c r="J810" s="1" t="s">
        <v>35</v>
      </c>
    </row>
    <row r="811" ht="14.25" customHeight="1">
      <c r="H811" s="1" t="s">
        <v>35</v>
      </c>
      <c r="I811" s="1" t="s">
        <v>35</v>
      </c>
      <c r="J811" s="1" t="s">
        <v>35</v>
      </c>
    </row>
    <row r="812" ht="14.25" customHeight="1">
      <c r="H812" s="1" t="s">
        <v>35</v>
      </c>
      <c r="I812" s="1" t="s">
        <v>35</v>
      </c>
      <c r="J812" s="1" t="s">
        <v>35</v>
      </c>
    </row>
    <row r="813" ht="14.25" customHeight="1">
      <c r="H813" s="1" t="s">
        <v>35</v>
      </c>
      <c r="I813" s="1" t="s">
        <v>35</v>
      </c>
      <c r="J813" s="1" t="s">
        <v>35</v>
      </c>
    </row>
    <row r="814" ht="14.25" customHeight="1">
      <c r="H814" s="1" t="s">
        <v>35</v>
      </c>
      <c r="I814" s="1" t="s">
        <v>35</v>
      </c>
      <c r="J814" s="1" t="s">
        <v>35</v>
      </c>
    </row>
  </sheetData>
  <conditionalFormatting sqref="A1:A814">
    <cfRule type="notContainsBlanks" dxfId="0" priority="1">
      <formula>LEN(TRIM(A1))&gt;0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6" width="8.71"/>
  </cols>
  <sheetData>
    <row r="1" ht="14.25" customHeight="1">
      <c r="A1" s="1" t="s">
        <v>53</v>
      </c>
      <c r="B1" s="1">
        <f>COUNTA('Task Master'!A2)</f>
        <v>1</v>
      </c>
    </row>
    <row r="2" ht="14.25" customHeight="1">
      <c r="A2" s="1" t="s">
        <v>54</v>
      </c>
      <c r="B2" s="1">
        <f>COUNTIF('Task Master'!D2,"Done")</f>
        <v>0</v>
      </c>
    </row>
    <row r="3" ht="14.25" customHeight="1">
      <c r="A3" s="1" t="s">
        <v>55</v>
      </c>
      <c r="B3" s="1">
        <f>COUNTIF('Task Master'!D2,"In Progress")</f>
        <v>0</v>
      </c>
    </row>
    <row r="4" ht="14.25" customHeight="1">
      <c r="A4" s="1" t="s">
        <v>56</v>
      </c>
      <c r="B4" s="1">
        <f>COUNTIF('Task Master'!D2,"Blocked")</f>
        <v>0</v>
      </c>
    </row>
    <row r="5" ht="14.25" customHeight="1">
      <c r="A5" s="1" t="s">
        <v>57</v>
      </c>
      <c r="B5" s="1">
        <f>SUM('Daily Log'!E2)</f>
        <v>3</v>
      </c>
    </row>
    <row r="6" ht="14.25" customHeight="1">
      <c r="A6" s="1" t="s">
        <v>58</v>
      </c>
      <c r="B6" s="1">
        <f>COUNTIF('Task Master'!C2, "Bug")</f>
        <v>1</v>
      </c>
    </row>
    <row r="7" ht="14.25" customHeight="1">
      <c r="A7" s="1" t="s">
        <v>59</v>
      </c>
      <c r="B7" s="1">
        <f>COUNTIF('Task Master'!C2, "Feature")</f>
        <v>0</v>
      </c>
    </row>
    <row r="8" ht="14.25" customHeight="1">
      <c r="A8" s="1" t="s">
        <v>60</v>
      </c>
      <c r="B8" s="1">
        <f>COUNTIF('Task Master'!C2, "Engineering")</f>
        <v>0</v>
      </c>
    </row>
    <row r="9" ht="14.25" customHeight="1">
      <c r="A9" s="1" t="s">
        <v>61</v>
      </c>
      <c r="B9" s="1">
        <f>COUNTIF('Task Master'!C2, "DevOps")</f>
        <v>0</v>
      </c>
    </row>
    <row r="10" ht="14.25" customHeight="1">
      <c r="A10" s="1" t="s">
        <v>62</v>
      </c>
      <c r="B10" s="1">
        <f>COUNTIFS('Task Master'!C2,"Bug",'Task Master'!D2,"Done")</f>
        <v>0</v>
      </c>
    </row>
    <row r="11" ht="14.25" customHeight="1">
      <c r="A11" s="1" t="s">
        <v>63</v>
      </c>
      <c r="B11" s="1">
        <f>COUNTIFS('Task Master'!C2,"Feature",'Task Master'!D2,"Done")</f>
        <v>0</v>
      </c>
    </row>
    <row r="12" ht="14.25" customHeight="1">
      <c r="A12" s="1" t="s">
        <v>64</v>
      </c>
      <c r="B12" s="1">
        <f>COUNTIFS('Task Master'!C2,"Engineering",'Task Master'!D2,"Done")</f>
        <v>0</v>
      </c>
    </row>
    <row r="13" ht="14.25" customHeight="1">
      <c r="A13" s="1" t="s">
        <v>65</v>
      </c>
      <c r="B13" s="1">
        <f>SUMIF('Task Master'!C2,"Bug",'Task Master'!I2)</f>
        <v>8</v>
      </c>
    </row>
    <row r="14" ht="14.25" customHeight="1">
      <c r="A14" s="1" t="s">
        <v>66</v>
      </c>
      <c r="B14" s="1">
        <f>SUMIF('Task Master'!C2,"Feature",'Task Master'!I2)</f>
        <v>0</v>
      </c>
    </row>
    <row r="15" ht="14.25" customHeight="1">
      <c r="A15" s="1" t="s">
        <v>67</v>
      </c>
      <c r="B15" s="1">
        <f>B2/B1</f>
        <v>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