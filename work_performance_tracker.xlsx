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rasannaVenkateshM\Downloads\"/>
    </mc:Choice>
  </mc:AlternateContent>
  <xr:revisionPtr revIDLastSave="0" documentId="13_ncr:1_{5853FF17-6DB6-4C02-BB9C-1E8A7910035C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Task Master" sheetId="1" r:id="rId1"/>
    <sheet name="Daily Log" sheetId="2" r:id="rId2"/>
    <sheet name="Dashboar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3" l="1"/>
  <c r="B14" i="3"/>
  <c r="B13" i="3"/>
  <c r="B12" i="3"/>
  <c r="B11" i="3"/>
  <c r="B10" i="3"/>
  <c r="B9" i="3"/>
  <c r="B8" i="3"/>
  <c r="B7" i="3"/>
  <c r="B6" i="3"/>
  <c r="B5" i="3"/>
  <c r="B4" i="3"/>
  <c r="B3" i="3"/>
  <c r="B2" i="3"/>
  <c r="B1" i="3"/>
  <c r="J199" i="2"/>
  <c r="I199" i="2"/>
  <c r="H199" i="2"/>
  <c r="C199" i="2"/>
  <c r="J198" i="2"/>
  <c r="I198" i="2"/>
  <c r="H198" i="2"/>
  <c r="C198" i="2"/>
  <c r="J197" i="2"/>
  <c r="I197" i="2"/>
  <c r="H197" i="2"/>
  <c r="C197" i="2"/>
  <c r="J196" i="2"/>
  <c r="I196" i="2"/>
  <c r="H196" i="2"/>
  <c r="C196" i="2"/>
  <c r="J195" i="2"/>
  <c r="I195" i="2"/>
  <c r="H195" i="2"/>
  <c r="C195" i="2"/>
  <c r="J194" i="2"/>
  <c r="I194" i="2"/>
  <c r="H194" i="2"/>
  <c r="C194" i="2"/>
  <c r="J193" i="2"/>
  <c r="I193" i="2"/>
  <c r="H193" i="2"/>
  <c r="C193" i="2"/>
  <c r="J192" i="2"/>
  <c r="I192" i="2"/>
  <c r="H192" i="2"/>
  <c r="C192" i="2"/>
  <c r="J191" i="2"/>
  <c r="I191" i="2"/>
  <c r="H191" i="2"/>
  <c r="C191" i="2"/>
  <c r="J190" i="2"/>
  <c r="I190" i="2"/>
  <c r="H190" i="2"/>
  <c r="C190" i="2"/>
  <c r="J189" i="2"/>
  <c r="I189" i="2"/>
  <c r="H189" i="2"/>
  <c r="C189" i="2"/>
  <c r="J188" i="2"/>
  <c r="I188" i="2"/>
  <c r="H188" i="2"/>
  <c r="C188" i="2"/>
  <c r="J187" i="2"/>
  <c r="I187" i="2"/>
  <c r="H187" i="2"/>
  <c r="C187" i="2"/>
  <c r="J186" i="2"/>
  <c r="I186" i="2"/>
  <c r="H186" i="2"/>
  <c r="C186" i="2"/>
  <c r="J185" i="2"/>
  <c r="I185" i="2"/>
  <c r="H185" i="2"/>
  <c r="C185" i="2"/>
  <c r="J184" i="2"/>
  <c r="I184" i="2"/>
  <c r="H184" i="2"/>
  <c r="C184" i="2"/>
  <c r="J183" i="2"/>
  <c r="I183" i="2"/>
  <c r="H183" i="2"/>
  <c r="C183" i="2"/>
  <c r="J182" i="2"/>
  <c r="I182" i="2"/>
  <c r="H182" i="2"/>
  <c r="C182" i="2"/>
  <c r="J181" i="2"/>
  <c r="I181" i="2"/>
  <c r="H181" i="2"/>
  <c r="C181" i="2"/>
  <c r="J180" i="2"/>
  <c r="I180" i="2"/>
  <c r="H180" i="2"/>
  <c r="C180" i="2"/>
  <c r="J179" i="2"/>
  <c r="I179" i="2"/>
  <c r="H179" i="2"/>
  <c r="C179" i="2"/>
  <c r="J178" i="2"/>
  <c r="I178" i="2"/>
  <c r="H178" i="2"/>
  <c r="C178" i="2"/>
  <c r="J177" i="2"/>
  <c r="I177" i="2"/>
  <c r="H177" i="2"/>
  <c r="C177" i="2"/>
  <c r="J176" i="2"/>
  <c r="I176" i="2"/>
  <c r="H176" i="2"/>
  <c r="C176" i="2"/>
  <c r="J175" i="2"/>
  <c r="I175" i="2"/>
  <c r="H175" i="2"/>
  <c r="C175" i="2"/>
  <c r="J174" i="2"/>
  <c r="I174" i="2"/>
  <c r="H174" i="2"/>
  <c r="C174" i="2"/>
  <c r="J173" i="2"/>
  <c r="I173" i="2"/>
  <c r="H173" i="2"/>
  <c r="C173" i="2"/>
  <c r="J172" i="2"/>
  <c r="I172" i="2"/>
  <c r="H172" i="2"/>
  <c r="C172" i="2"/>
  <c r="J171" i="2"/>
  <c r="I171" i="2"/>
  <c r="H171" i="2"/>
  <c r="C171" i="2"/>
  <c r="J170" i="2"/>
  <c r="I170" i="2"/>
  <c r="H170" i="2"/>
  <c r="C170" i="2"/>
  <c r="J169" i="2"/>
  <c r="I169" i="2"/>
  <c r="H169" i="2"/>
  <c r="C169" i="2"/>
  <c r="J168" i="2"/>
  <c r="I168" i="2"/>
  <c r="H168" i="2"/>
  <c r="C168" i="2"/>
  <c r="J167" i="2"/>
  <c r="I167" i="2"/>
  <c r="H167" i="2"/>
  <c r="C167" i="2"/>
  <c r="J166" i="2"/>
  <c r="I166" i="2"/>
  <c r="H166" i="2"/>
  <c r="C166" i="2"/>
  <c r="J165" i="2"/>
  <c r="I165" i="2"/>
  <c r="H165" i="2"/>
  <c r="C165" i="2"/>
  <c r="J164" i="2"/>
  <c r="I164" i="2"/>
  <c r="H164" i="2"/>
  <c r="C164" i="2"/>
  <c r="J163" i="2"/>
  <c r="I163" i="2"/>
  <c r="H163" i="2"/>
  <c r="C163" i="2"/>
  <c r="J162" i="2"/>
  <c r="I162" i="2"/>
  <c r="H162" i="2"/>
  <c r="C162" i="2"/>
  <c r="J161" i="2"/>
  <c r="I161" i="2"/>
  <c r="H161" i="2"/>
  <c r="C161" i="2"/>
  <c r="J160" i="2"/>
  <c r="I160" i="2"/>
  <c r="H160" i="2"/>
  <c r="C160" i="2"/>
  <c r="J159" i="2"/>
  <c r="I159" i="2"/>
  <c r="H159" i="2"/>
  <c r="C159" i="2"/>
  <c r="J158" i="2"/>
  <c r="I158" i="2"/>
  <c r="H158" i="2"/>
  <c r="C158" i="2"/>
  <c r="J157" i="2"/>
  <c r="I157" i="2"/>
  <c r="H157" i="2"/>
  <c r="C157" i="2"/>
  <c r="J156" i="2"/>
  <c r="I156" i="2"/>
  <c r="H156" i="2"/>
  <c r="C156" i="2"/>
  <c r="J155" i="2"/>
  <c r="I155" i="2"/>
  <c r="H155" i="2"/>
  <c r="C155" i="2"/>
  <c r="J154" i="2"/>
  <c r="I154" i="2"/>
  <c r="H154" i="2"/>
  <c r="C154" i="2"/>
  <c r="J153" i="2"/>
  <c r="I153" i="2"/>
  <c r="H153" i="2"/>
  <c r="C153" i="2"/>
  <c r="J152" i="2"/>
  <c r="I152" i="2"/>
  <c r="H152" i="2"/>
  <c r="C152" i="2"/>
  <c r="J151" i="2"/>
  <c r="I151" i="2"/>
  <c r="H151" i="2"/>
  <c r="C151" i="2"/>
  <c r="J150" i="2"/>
  <c r="I150" i="2"/>
  <c r="H150" i="2"/>
  <c r="C150" i="2"/>
  <c r="J149" i="2"/>
  <c r="I149" i="2"/>
  <c r="H149" i="2"/>
  <c r="C149" i="2"/>
  <c r="J148" i="2"/>
  <c r="I148" i="2"/>
  <c r="H148" i="2"/>
  <c r="C148" i="2"/>
  <c r="J147" i="2"/>
  <c r="I147" i="2"/>
  <c r="H147" i="2"/>
  <c r="C147" i="2"/>
  <c r="J146" i="2"/>
  <c r="I146" i="2"/>
  <c r="H146" i="2"/>
  <c r="C146" i="2"/>
  <c r="J145" i="2"/>
  <c r="I145" i="2"/>
  <c r="H145" i="2"/>
  <c r="C145" i="2"/>
  <c r="J144" i="2"/>
  <c r="I144" i="2"/>
  <c r="H144" i="2"/>
  <c r="C144" i="2"/>
  <c r="J143" i="2"/>
  <c r="I143" i="2"/>
  <c r="H143" i="2"/>
  <c r="C143" i="2"/>
  <c r="J142" i="2"/>
  <c r="I142" i="2"/>
  <c r="H142" i="2"/>
  <c r="C142" i="2"/>
  <c r="J141" i="2"/>
  <c r="I141" i="2"/>
  <c r="H141" i="2"/>
  <c r="C141" i="2"/>
  <c r="J140" i="2"/>
  <c r="I140" i="2"/>
  <c r="H140" i="2"/>
  <c r="C140" i="2"/>
  <c r="J139" i="2"/>
  <c r="I139" i="2"/>
  <c r="H139" i="2"/>
  <c r="C139" i="2"/>
  <c r="J138" i="2"/>
  <c r="I138" i="2"/>
  <c r="H138" i="2"/>
  <c r="C138" i="2"/>
  <c r="J137" i="2"/>
  <c r="I137" i="2"/>
  <c r="H137" i="2"/>
  <c r="C137" i="2"/>
  <c r="J136" i="2"/>
  <c r="I136" i="2"/>
  <c r="H136" i="2"/>
  <c r="C136" i="2"/>
  <c r="J135" i="2"/>
  <c r="I135" i="2"/>
  <c r="H135" i="2"/>
  <c r="C135" i="2"/>
  <c r="J134" i="2"/>
  <c r="I134" i="2"/>
  <c r="H134" i="2"/>
  <c r="C134" i="2"/>
  <c r="J133" i="2"/>
  <c r="I133" i="2"/>
  <c r="H133" i="2"/>
  <c r="C133" i="2"/>
  <c r="J132" i="2"/>
  <c r="I132" i="2"/>
  <c r="H132" i="2"/>
  <c r="C132" i="2"/>
  <c r="J131" i="2"/>
  <c r="I131" i="2"/>
  <c r="H131" i="2"/>
  <c r="C131" i="2"/>
  <c r="J130" i="2"/>
  <c r="I130" i="2"/>
  <c r="H130" i="2"/>
  <c r="C130" i="2"/>
  <c r="J129" i="2"/>
  <c r="I129" i="2"/>
  <c r="H129" i="2"/>
  <c r="C129" i="2"/>
  <c r="J128" i="2"/>
  <c r="I128" i="2"/>
  <c r="H128" i="2"/>
  <c r="C128" i="2"/>
  <c r="J127" i="2"/>
  <c r="I127" i="2"/>
  <c r="H127" i="2"/>
  <c r="C127" i="2"/>
  <c r="J126" i="2"/>
  <c r="I126" i="2"/>
  <c r="H126" i="2"/>
  <c r="C126" i="2"/>
  <c r="J125" i="2"/>
  <c r="I125" i="2"/>
  <c r="H125" i="2"/>
  <c r="C125" i="2"/>
  <c r="J124" i="2"/>
  <c r="I124" i="2"/>
  <c r="H124" i="2"/>
  <c r="C124" i="2"/>
  <c r="J123" i="2"/>
  <c r="I123" i="2"/>
  <c r="H123" i="2"/>
  <c r="C123" i="2"/>
  <c r="J122" i="2"/>
  <c r="I122" i="2"/>
  <c r="H122" i="2"/>
  <c r="C122" i="2"/>
  <c r="J121" i="2"/>
  <c r="I121" i="2"/>
  <c r="H121" i="2"/>
  <c r="C121" i="2"/>
  <c r="J120" i="2"/>
  <c r="I120" i="2"/>
  <c r="H120" i="2"/>
  <c r="C120" i="2"/>
  <c r="J119" i="2"/>
  <c r="I119" i="2"/>
  <c r="H119" i="2"/>
  <c r="C119" i="2"/>
  <c r="J118" i="2"/>
  <c r="I118" i="2"/>
  <c r="H118" i="2"/>
  <c r="C118" i="2"/>
  <c r="J117" i="2"/>
  <c r="I117" i="2"/>
  <c r="H117" i="2"/>
  <c r="C117" i="2"/>
  <c r="J116" i="2"/>
  <c r="I116" i="2"/>
  <c r="H116" i="2"/>
  <c r="C116" i="2"/>
  <c r="J115" i="2"/>
  <c r="I115" i="2"/>
  <c r="H115" i="2"/>
  <c r="C115" i="2"/>
  <c r="J114" i="2"/>
  <c r="I114" i="2"/>
  <c r="H114" i="2"/>
  <c r="C114" i="2"/>
  <c r="J113" i="2"/>
  <c r="I113" i="2"/>
  <c r="H113" i="2"/>
  <c r="C113" i="2"/>
  <c r="J112" i="2"/>
  <c r="I112" i="2"/>
  <c r="H112" i="2"/>
  <c r="C112" i="2"/>
  <c r="J111" i="2"/>
  <c r="I111" i="2"/>
  <c r="H111" i="2"/>
  <c r="C111" i="2"/>
  <c r="J110" i="2"/>
  <c r="I110" i="2"/>
  <c r="H110" i="2"/>
  <c r="C110" i="2"/>
  <c r="J109" i="2"/>
  <c r="I109" i="2"/>
  <c r="H109" i="2"/>
  <c r="C109" i="2"/>
  <c r="J108" i="2"/>
  <c r="I108" i="2"/>
  <c r="H108" i="2"/>
  <c r="C108" i="2"/>
  <c r="J107" i="2"/>
  <c r="I107" i="2"/>
  <c r="H107" i="2"/>
  <c r="C107" i="2"/>
  <c r="J106" i="2"/>
  <c r="I106" i="2"/>
  <c r="H106" i="2"/>
  <c r="C106" i="2"/>
  <c r="J105" i="2"/>
  <c r="I105" i="2"/>
  <c r="H105" i="2"/>
  <c r="C105" i="2"/>
  <c r="J104" i="2"/>
  <c r="I104" i="2"/>
  <c r="H104" i="2"/>
  <c r="C104" i="2"/>
  <c r="J103" i="2"/>
  <c r="I103" i="2"/>
  <c r="H103" i="2"/>
  <c r="C103" i="2"/>
  <c r="J102" i="2"/>
  <c r="I102" i="2"/>
  <c r="H102" i="2"/>
  <c r="C102" i="2"/>
  <c r="J101" i="2"/>
  <c r="I101" i="2"/>
  <c r="H101" i="2"/>
  <c r="C101" i="2"/>
  <c r="J100" i="2"/>
  <c r="I100" i="2"/>
  <c r="H100" i="2"/>
  <c r="C100" i="2"/>
  <c r="J99" i="2"/>
  <c r="I99" i="2"/>
  <c r="H99" i="2"/>
  <c r="C99" i="2"/>
  <c r="J98" i="2"/>
  <c r="I98" i="2"/>
  <c r="H98" i="2"/>
  <c r="C98" i="2"/>
  <c r="J97" i="2"/>
  <c r="I97" i="2"/>
  <c r="H97" i="2"/>
  <c r="C97" i="2"/>
  <c r="J96" i="2"/>
  <c r="I96" i="2"/>
  <c r="H96" i="2"/>
  <c r="C96" i="2"/>
  <c r="J95" i="2"/>
  <c r="I95" i="2"/>
  <c r="H95" i="2"/>
  <c r="C95" i="2"/>
  <c r="J94" i="2"/>
  <c r="I94" i="2"/>
  <c r="H94" i="2"/>
  <c r="C94" i="2"/>
  <c r="J93" i="2"/>
  <c r="I93" i="2"/>
  <c r="H93" i="2"/>
  <c r="C93" i="2"/>
  <c r="J92" i="2"/>
  <c r="I92" i="2"/>
  <c r="H92" i="2"/>
  <c r="C92" i="2"/>
  <c r="J91" i="2"/>
  <c r="I91" i="2"/>
  <c r="H91" i="2"/>
  <c r="C91" i="2"/>
  <c r="J90" i="2"/>
  <c r="I90" i="2"/>
  <c r="H90" i="2"/>
  <c r="C90" i="2"/>
  <c r="J89" i="2"/>
  <c r="I89" i="2"/>
  <c r="H89" i="2"/>
  <c r="C89" i="2"/>
  <c r="J88" i="2"/>
  <c r="I88" i="2"/>
  <c r="H88" i="2"/>
  <c r="C88" i="2"/>
  <c r="J87" i="2"/>
  <c r="I87" i="2"/>
  <c r="H87" i="2"/>
  <c r="C87" i="2"/>
  <c r="J86" i="2"/>
  <c r="I86" i="2"/>
  <c r="H86" i="2"/>
  <c r="C86" i="2"/>
  <c r="J85" i="2"/>
  <c r="I85" i="2"/>
  <c r="H85" i="2"/>
  <c r="C85" i="2"/>
  <c r="J84" i="2"/>
  <c r="I84" i="2"/>
  <c r="H84" i="2"/>
  <c r="C84" i="2"/>
  <c r="J83" i="2"/>
  <c r="I83" i="2"/>
  <c r="H83" i="2"/>
  <c r="C83" i="2"/>
  <c r="J82" i="2"/>
  <c r="I82" i="2"/>
  <c r="H82" i="2"/>
  <c r="C82" i="2"/>
  <c r="J81" i="2"/>
  <c r="I81" i="2"/>
  <c r="H81" i="2"/>
  <c r="C81" i="2"/>
  <c r="J80" i="2"/>
  <c r="I80" i="2"/>
  <c r="H80" i="2"/>
  <c r="C80" i="2"/>
  <c r="J79" i="2"/>
  <c r="I79" i="2"/>
  <c r="H79" i="2"/>
  <c r="C79" i="2"/>
  <c r="J78" i="2"/>
  <c r="I78" i="2"/>
  <c r="H78" i="2"/>
  <c r="C78" i="2"/>
  <c r="J77" i="2"/>
  <c r="I77" i="2"/>
  <c r="H77" i="2"/>
  <c r="C77" i="2"/>
  <c r="J76" i="2"/>
  <c r="I76" i="2"/>
  <c r="H76" i="2"/>
  <c r="C76" i="2"/>
  <c r="J75" i="2"/>
  <c r="I75" i="2"/>
  <c r="H75" i="2"/>
  <c r="C75" i="2"/>
  <c r="J74" i="2"/>
  <c r="I74" i="2"/>
  <c r="H74" i="2"/>
  <c r="C74" i="2"/>
  <c r="J73" i="2"/>
  <c r="I73" i="2"/>
  <c r="H73" i="2"/>
  <c r="C73" i="2"/>
  <c r="J72" i="2"/>
  <c r="I72" i="2"/>
  <c r="H72" i="2"/>
  <c r="C72" i="2"/>
  <c r="J71" i="2"/>
  <c r="I71" i="2"/>
  <c r="H71" i="2"/>
  <c r="C71" i="2"/>
  <c r="J70" i="2"/>
  <c r="I70" i="2"/>
  <c r="H70" i="2"/>
  <c r="C70" i="2"/>
  <c r="J69" i="2"/>
  <c r="I69" i="2"/>
  <c r="H69" i="2"/>
  <c r="C69" i="2"/>
  <c r="J68" i="2"/>
  <c r="I68" i="2"/>
  <c r="H68" i="2"/>
  <c r="C68" i="2"/>
  <c r="J67" i="2"/>
  <c r="I67" i="2"/>
  <c r="H67" i="2"/>
  <c r="C67" i="2"/>
  <c r="J66" i="2"/>
  <c r="I66" i="2"/>
  <c r="H66" i="2"/>
  <c r="C66" i="2"/>
  <c r="J65" i="2"/>
  <c r="I65" i="2"/>
  <c r="H65" i="2"/>
  <c r="C65" i="2"/>
  <c r="J64" i="2"/>
  <c r="I64" i="2"/>
  <c r="H64" i="2"/>
  <c r="C64" i="2"/>
  <c r="J63" i="2"/>
  <c r="I63" i="2"/>
  <c r="H63" i="2"/>
  <c r="C63" i="2"/>
  <c r="J62" i="2"/>
  <c r="I62" i="2"/>
  <c r="H62" i="2"/>
  <c r="C62" i="2"/>
  <c r="J61" i="2"/>
  <c r="I61" i="2"/>
  <c r="H61" i="2"/>
  <c r="C61" i="2"/>
  <c r="J60" i="2"/>
  <c r="I60" i="2"/>
  <c r="H60" i="2"/>
  <c r="C60" i="2"/>
  <c r="J59" i="2"/>
  <c r="I59" i="2"/>
  <c r="H59" i="2"/>
  <c r="C59" i="2"/>
  <c r="J58" i="2"/>
  <c r="I58" i="2"/>
  <c r="H58" i="2"/>
  <c r="C58" i="2"/>
  <c r="J57" i="2"/>
  <c r="I57" i="2"/>
  <c r="H57" i="2"/>
  <c r="C57" i="2"/>
  <c r="J56" i="2"/>
  <c r="I56" i="2"/>
  <c r="H56" i="2"/>
  <c r="C56" i="2"/>
  <c r="J55" i="2"/>
  <c r="I55" i="2"/>
  <c r="H55" i="2"/>
  <c r="C55" i="2"/>
  <c r="J54" i="2"/>
  <c r="I54" i="2"/>
  <c r="H54" i="2"/>
  <c r="C54" i="2"/>
  <c r="J53" i="2"/>
  <c r="I53" i="2"/>
  <c r="H53" i="2"/>
  <c r="C53" i="2"/>
  <c r="J52" i="2"/>
  <c r="I52" i="2"/>
  <c r="H52" i="2"/>
  <c r="C52" i="2"/>
  <c r="J51" i="2"/>
  <c r="I51" i="2"/>
  <c r="H51" i="2"/>
  <c r="C51" i="2"/>
  <c r="J50" i="2"/>
  <c r="I50" i="2"/>
  <c r="H50" i="2"/>
  <c r="C50" i="2"/>
  <c r="J49" i="2"/>
  <c r="I49" i="2"/>
  <c r="H49" i="2"/>
  <c r="C49" i="2"/>
  <c r="J48" i="2"/>
  <c r="I48" i="2"/>
  <c r="H48" i="2"/>
  <c r="C48" i="2"/>
  <c r="J47" i="2"/>
  <c r="I47" i="2"/>
  <c r="H47" i="2"/>
  <c r="C47" i="2"/>
  <c r="J46" i="2"/>
  <c r="I46" i="2"/>
  <c r="H46" i="2"/>
  <c r="C46" i="2"/>
  <c r="J45" i="2"/>
  <c r="I45" i="2"/>
  <c r="H45" i="2"/>
  <c r="C45" i="2"/>
  <c r="J44" i="2"/>
  <c r="I44" i="2"/>
  <c r="H44" i="2"/>
  <c r="C44" i="2"/>
  <c r="J43" i="2"/>
  <c r="I43" i="2"/>
  <c r="H43" i="2"/>
  <c r="C43" i="2"/>
  <c r="J42" i="2"/>
  <c r="I42" i="2"/>
  <c r="H42" i="2"/>
  <c r="C42" i="2"/>
  <c r="J41" i="2"/>
  <c r="I41" i="2"/>
  <c r="H41" i="2"/>
  <c r="C41" i="2"/>
  <c r="J40" i="2"/>
  <c r="I40" i="2"/>
  <c r="H40" i="2"/>
  <c r="C40" i="2"/>
  <c r="J39" i="2"/>
  <c r="I39" i="2"/>
  <c r="H39" i="2"/>
  <c r="C39" i="2"/>
  <c r="J38" i="2"/>
  <c r="I38" i="2"/>
  <c r="H38" i="2"/>
  <c r="C38" i="2"/>
  <c r="J37" i="2"/>
  <c r="I37" i="2"/>
  <c r="H37" i="2"/>
  <c r="C37" i="2"/>
  <c r="J36" i="2"/>
  <c r="I36" i="2"/>
  <c r="H36" i="2"/>
  <c r="C36" i="2"/>
  <c r="J35" i="2"/>
  <c r="I35" i="2"/>
  <c r="H35" i="2"/>
  <c r="C35" i="2"/>
  <c r="J34" i="2"/>
  <c r="I34" i="2"/>
  <c r="H34" i="2"/>
  <c r="C34" i="2"/>
  <c r="J33" i="2"/>
  <c r="I33" i="2"/>
  <c r="H33" i="2"/>
  <c r="C33" i="2"/>
  <c r="J32" i="2"/>
  <c r="I32" i="2"/>
  <c r="H32" i="2"/>
  <c r="C32" i="2"/>
  <c r="J31" i="2"/>
  <c r="I31" i="2"/>
  <c r="H31" i="2"/>
  <c r="C31" i="2"/>
  <c r="J30" i="2"/>
  <c r="I30" i="2"/>
  <c r="H30" i="2"/>
  <c r="C30" i="2"/>
  <c r="J29" i="2"/>
  <c r="I29" i="2"/>
  <c r="H29" i="2"/>
  <c r="C29" i="2"/>
  <c r="J28" i="2"/>
  <c r="I28" i="2"/>
  <c r="H28" i="2"/>
  <c r="C28" i="2"/>
  <c r="J27" i="2"/>
  <c r="I27" i="2"/>
  <c r="H27" i="2"/>
  <c r="C27" i="2"/>
  <c r="J26" i="2"/>
  <c r="I26" i="2"/>
  <c r="H26" i="2"/>
  <c r="C26" i="2"/>
  <c r="J25" i="2"/>
  <c r="I25" i="2"/>
  <c r="H25" i="2"/>
  <c r="C25" i="2"/>
  <c r="J24" i="2"/>
  <c r="I24" i="2"/>
  <c r="H24" i="2"/>
  <c r="C24" i="2"/>
  <c r="J23" i="2"/>
  <c r="I23" i="2"/>
  <c r="H23" i="2"/>
  <c r="C23" i="2"/>
  <c r="J22" i="2"/>
  <c r="I22" i="2"/>
  <c r="H22" i="2"/>
  <c r="C22" i="2"/>
  <c r="J21" i="2"/>
  <c r="I21" i="2"/>
  <c r="H21" i="2"/>
  <c r="C21" i="2"/>
  <c r="J20" i="2"/>
  <c r="I20" i="2"/>
  <c r="H20" i="2"/>
  <c r="C20" i="2"/>
  <c r="J19" i="2"/>
  <c r="I19" i="2"/>
  <c r="H19" i="2"/>
  <c r="C19" i="2"/>
  <c r="J18" i="2"/>
  <c r="I18" i="2"/>
  <c r="H18" i="2"/>
  <c r="C18" i="2"/>
  <c r="J17" i="2"/>
  <c r="I17" i="2"/>
  <c r="H17" i="2"/>
  <c r="C17" i="2"/>
  <c r="J16" i="2"/>
  <c r="I16" i="2"/>
  <c r="H16" i="2"/>
  <c r="C16" i="2"/>
  <c r="J15" i="2"/>
  <c r="I15" i="2"/>
  <c r="H15" i="2"/>
  <c r="C15" i="2"/>
  <c r="J14" i="2"/>
  <c r="I14" i="2"/>
  <c r="H14" i="2"/>
  <c r="C14" i="2"/>
  <c r="J13" i="2"/>
  <c r="I13" i="2"/>
  <c r="H13" i="2"/>
  <c r="C13" i="2"/>
  <c r="J12" i="2"/>
  <c r="I12" i="2"/>
  <c r="H12" i="2"/>
  <c r="C12" i="2"/>
  <c r="J11" i="2"/>
  <c r="I11" i="2"/>
  <c r="H11" i="2"/>
  <c r="C11" i="2"/>
  <c r="J10" i="2"/>
  <c r="I10" i="2"/>
  <c r="H10" i="2"/>
  <c r="C10" i="2"/>
  <c r="J9" i="2"/>
  <c r="I9" i="2"/>
  <c r="H9" i="2"/>
  <c r="C9" i="2"/>
  <c r="J8" i="2"/>
  <c r="I8" i="2"/>
  <c r="H8" i="2"/>
  <c r="C8" i="2"/>
  <c r="J7" i="2"/>
  <c r="I7" i="2"/>
  <c r="H7" i="2"/>
  <c r="C7" i="2"/>
  <c r="J6" i="2"/>
  <c r="I6" i="2"/>
  <c r="H6" i="2"/>
  <c r="C6" i="2"/>
  <c r="J5" i="2"/>
  <c r="I5" i="2"/>
  <c r="H5" i="2"/>
  <c r="C5" i="2"/>
  <c r="J4" i="2"/>
  <c r="I4" i="2"/>
  <c r="H4" i="2"/>
  <c r="C4" i="2"/>
  <c r="J3" i="2"/>
  <c r="I3" i="2"/>
  <c r="H3" i="2"/>
  <c r="C3" i="2"/>
  <c r="J2" i="2"/>
  <c r="I2" i="2"/>
  <c r="H2" i="2"/>
  <c r="C2" i="2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<sst xmlns="http://schemas.openxmlformats.org/spreadsheetml/2006/main" count="36" uniqueCount="33">
  <si>
    <t>Task ID</t>
  </si>
  <si>
    <t>Task Title</t>
  </si>
  <si>
    <t>Task Type</t>
  </si>
  <si>
    <t>Status</t>
  </si>
  <si>
    <t>Priority</t>
  </si>
  <si>
    <t>Start Date</t>
  </si>
  <si>
    <t>End Date</t>
  </si>
  <si>
    <t>Estimated Hours</t>
  </si>
  <si>
    <t>Actual Hours</t>
  </si>
  <si>
    <t>Dependencies</t>
  </si>
  <si>
    <t>Remarks</t>
  </si>
  <si>
    <t>Date</t>
  </si>
  <si>
    <t>Work Description</t>
  </si>
  <si>
    <t>Hours Spent</t>
  </si>
  <si>
    <t>Status Update</t>
  </si>
  <si>
    <t>Week</t>
  </si>
  <si>
    <t>Month</t>
  </si>
  <si>
    <t>Year</t>
  </si>
  <si>
    <t>Total Tasks</t>
  </si>
  <si>
    <t>Completed Tasks</t>
  </si>
  <si>
    <t>In Progress Tasks</t>
  </si>
  <si>
    <t>Blocked Tasks</t>
  </si>
  <si>
    <t>Total Hours</t>
  </si>
  <si>
    <t>Total Bugs Worked</t>
  </si>
  <si>
    <t>Total Features Worked</t>
  </si>
  <si>
    <t>Total Engineered</t>
  </si>
  <si>
    <t>Total Devops Task</t>
  </si>
  <si>
    <t>Total Bugs Completed</t>
  </si>
  <si>
    <t>Total Features Completed</t>
  </si>
  <si>
    <t>Total Engineered Completed</t>
  </si>
  <si>
    <t>Total Hours worked on Bug</t>
  </si>
  <si>
    <t>Total Hours worked on Features</t>
  </si>
  <si>
    <t>Productivity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</si>
</sst>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9"/>
  <sheetViews>
    <sheetView workbookViewId="0">
      <selection activeCell="N5" sqref="N5"/>
    </sheetView>
  </sheetViews>
  <sheetFormatPr defaultRowHeight="14.5" x14ac:dyDescent="0.35"/>
  <cols>
    <col min="1" max="1" width="6.81640625" bestFit="1" customWidth="1"/>
    <col min="2" max="2" width="8.54296875" bestFit="1" customWidth="1"/>
    <col min="3" max="3" width="9" bestFit="1" customWidth="1"/>
    <col min="4" max="4" width="5.90625" bestFit="1" customWidth="1"/>
    <col min="5" max="5" width="6.81640625" bestFit="1" customWidth="1"/>
    <col min="6" max="6" width="9.08984375" bestFit="1" customWidth="1"/>
    <col min="7" max="7" width="8.36328125" bestFit="1" customWidth="1"/>
    <col min="8" max="8" width="14.6328125" bestFit="1" customWidth="1"/>
    <col min="9" max="9" width="11.453125" bestFit="1" customWidth="1"/>
    <col min="10" max="10" width="12.54296875" bestFit="1" customWidth="1"/>
    <col min="11" max="11" width="8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I2">
        <f>SUMIF('Daily Log'!B:B,A2,'Daily Log'!E:E)</f>
        <v>0</v>
      </c>
    </row>
    <row r="3" spans="1:11" x14ac:dyDescent="0.35">
      <c r="I3">
        <f>SUMIF('Daily Log'!B:B,A3,'Daily Log'!E:E)</f>
        <v>0</v>
      </c>
    </row>
    <row r="4" spans="1:11" x14ac:dyDescent="0.35">
      <c r="I4">
        <f>SUMIF('Daily Log'!B:B,A4,'Daily Log'!E:E)</f>
        <v>0</v>
      </c>
    </row>
    <row r="5" spans="1:11" x14ac:dyDescent="0.35">
      <c r="I5">
        <f>SUMIF('Daily Log'!B:B,A5,'Daily Log'!E:E)</f>
        <v>0</v>
      </c>
    </row>
    <row r="6" spans="1:11" x14ac:dyDescent="0.35">
      <c r="I6">
        <f>SUMIF('Daily Log'!B:B,A6,'Daily Log'!E:E)</f>
        <v>0</v>
      </c>
    </row>
    <row r="7" spans="1:11" x14ac:dyDescent="0.35">
      <c r="I7">
        <f>SUMIF('Daily Log'!B:B,A7,'Daily Log'!E:E)</f>
        <v>0</v>
      </c>
    </row>
    <row r="8" spans="1:11" x14ac:dyDescent="0.35">
      <c r="I8">
        <f>SUMIF('Daily Log'!B:B,A8,'Daily Log'!E:E)</f>
        <v>0</v>
      </c>
    </row>
    <row r="9" spans="1:11" x14ac:dyDescent="0.35">
      <c r="I9">
        <f>SUMIF('Daily Log'!B:B,A9,'Daily Log'!E:E)</f>
        <v>0</v>
      </c>
    </row>
    <row r="10" spans="1:11" x14ac:dyDescent="0.35">
      <c r="I10">
        <f>SUMIF('Daily Log'!B:B,A10,'Daily Log'!E:E)</f>
        <v>0</v>
      </c>
    </row>
    <row r="11" spans="1:11" x14ac:dyDescent="0.35">
      <c r="I11">
        <f>SUMIF('Daily Log'!B:B,A11,'Daily Log'!E:E)</f>
        <v>0</v>
      </c>
    </row>
    <row r="12" spans="1:11" x14ac:dyDescent="0.35">
      <c r="I12">
        <f>SUMIF('Daily Log'!B:B,A12,'Daily Log'!E:E)</f>
        <v>0</v>
      </c>
    </row>
    <row r="13" spans="1:11" x14ac:dyDescent="0.35">
      <c r="I13">
        <f>SUMIF('Daily Log'!B:B,A13,'Daily Log'!E:E)</f>
        <v>0</v>
      </c>
    </row>
    <row r="14" spans="1:11" x14ac:dyDescent="0.35">
      <c r="I14">
        <f>SUMIF('Daily Log'!B:B,A14,'Daily Log'!E:E)</f>
        <v>0</v>
      </c>
    </row>
    <row r="15" spans="1:11" x14ac:dyDescent="0.35">
      <c r="I15">
        <f>SUMIF('Daily Log'!B:B,A15,'Daily Log'!E:E)</f>
        <v>0</v>
      </c>
    </row>
    <row r="16" spans="1:11" x14ac:dyDescent="0.35">
      <c r="I16">
        <f>SUMIF('Daily Log'!B:B,A16,'Daily Log'!E:E)</f>
        <v>0</v>
      </c>
    </row>
    <row r="17" spans="9:9" x14ac:dyDescent="0.35">
      <c r="I17">
        <f>SUMIF('Daily Log'!B:B,A17,'Daily Log'!E:E)</f>
        <v>0</v>
      </c>
    </row>
    <row r="18" spans="9:9" x14ac:dyDescent="0.35">
      <c r="I18">
        <f>SUMIF('Daily Log'!B:B,A18,'Daily Log'!E:E)</f>
        <v>0</v>
      </c>
    </row>
    <row r="19" spans="9:9" x14ac:dyDescent="0.35">
      <c r="I19">
        <f>SUMIF('Daily Log'!B:B,A19,'Daily Log'!E:E)</f>
        <v>0</v>
      </c>
    </row>
    <row r="20" spans="9:9" x14ac:dyDescent="0.35">
      <c r="I20">
        <f>SUMIF('Daily Log'!B:B,A20,'Daily Log'!E:E)</f>
        <v>0</v>
      </c>
    </row>
    <row r="21" spans="9:9" x14ac:dyDescent="0.35">
      <c r="I21">
        <f>SUMIF('Daily Log'!B:B,A21,'Daily Log'!E:E)</f>
        <v>0</v>
      </c>
    </row>
    <row r="22" spans="9:9" x14ac:dyDescent="0.35">
      <c r="I22">
        <f>SUMIF('Daily Log'!B:B,A22,'Daily Log'!E:E)</f>
        <v>0</v>
      </c>
    </row>
    <row r="23" spans="9:9" x14ac:dyDescent="0.35">
      <c r="I23">
        <f>SUMIF('Daily Log'!B:B,A23,'Daily Log'!E:E)</f>
        <v>0</v>
      </c>
    </row>
    <row r="24" spans="9:9" x14ac:dyDescent="0.35">
      <c r="I24">
        <f>SUMIF('Daily Log'!B:B,A24,'Daily Log'!E:E)</f>
        <v>0</v>
      </c>
    </row>
    <row r="25" spans="9:9" x14ac:dyDescent="0.35">
      <c r="I25">
        <f>SUMIF('Daily Log'!B:B,A25,'Daily Log'!E:E)</f>
        <v>0</v>
      </c>
    </row>
    <row r="26" spans="9:9" x14ac:dyDescent="0.35">
      <c r="I26">
        <f>SUMIF('Daily Log'!B:B,A26,'Daily Log'!E:E)</f>
        <v>0</v>
      </c>
    </row>
    <row r="27" spans="9:9" x14ac:dyDescent="0.35">
      <c r="I27">
        <f>SUMIF('Daily Log'!B:B,A27,'Daily Log'!E:E)</f>
        <v>0</v>
      </c>
    </row>
    <row r="28" spans="9:9" x14ac:dyDescent="0.35">
      <c r="I28">
        <f>SUMIF('Daily Log'!B:B,A28,'Daily Log'!E:E)</f>
        <v>0</v>
      </c>
    </row>
    <row r="29" spans="9:9" x14ac:dyDescent="0.35">
      <c r="I29">
        <f>SUMIF('Daily Log'!B:B,A29,'Daily Log'!E:E)</f>
        <v>0</v>
      </c>
    </row>
    <row r="30" spans="9:9" x14ac:dyDescent="0.35">
      <c r="I30">
        <f>SUMIF('Daily Log'!B:B,A30,'Daily Log'!E:E)</f>
        <v>0</v>
      </c>
    </row>
    <row r="31" spans="9:9" x14ac:dyDescent="0.35">
      <c r="I31">
        <f>SUMIF('Daily Log'!B:B,A31,'Daily Log'!E:E)</f>
        <v>0</v>
      </c>
    </row>
    <row r="32" spans="9:9" x14ac:dyDescent="0.35">
      <c r="I32">
        <f>SUMIF('Daily Log'!B:B,A32,'Daily Log'!E:E)</f>
        <v>0</v>
      </c>
    </row>
    <row r="33" spans="9:9" x14ac:dyDescent="0.35">
      <c r="I33">
        <f>SUMIF('Daily Log'!B:B,A33,'Daily Log'!E:E)</f>
        <v>0</v>
      </c>
    </row>
    <row r="34" spans="9:9" x14ac:dyDescent="0.35">
      <c r="I34">
        <f>SUMIF('Daily Log'!B:B,A34,'Daily Log'!E:E)</f>
        <v>0</v>
      </c>
    </row>
    <row r="35" spans="9:9" x14ac:dyDescent="0.35">
      <c r="I35">
        <f>SUMIF('Daily Log'!B:B,A35,'Daily Log'!E:E)</f>
        <v>0</v>
      </c>
    </row>
    <row r="36" spans="9:9" x14ac:dyDescent="0.35">
      <c r="I36">
        <f>SUMIF('Daily Log'!B:B,A36,'Daily Log'!E:E)</f>
        <v>0</v>
      </c>
    </row>
    <row r="37" spans="9:9" x14ac:dyDescent="0.35">
      <c r="I37">
        <f>SUMIF('Daily Log'!B:B,A37,'Daily Log'!E:E)</f>
        <v>0</v>
      </c>
    </row>
    <row r="38" spans="9:9" x14ac:dyDescent="0.35">
      <c r="I38">
        <f>SUMIF('Daily Log'!B:B,A38,'Daily Log'!E:E)</f>
        <v>0</v>
      </c>
    </row>
    <row r="39" spans="9:9" x14ac:dyDescent="0.35">
      <c r="I39">
        <f>SUMIF('Daily Log'!B:B,A39,'Daily Log'!E:E)</f>
        <v>0</v>
      </c>
    </row>
    <row r="40" spans="9:9" x14ac:dyDescent="0.35">
      <c r="I40">
        <f>SUMIF('Daily Log'!B:B,A40,'Daily Log'!E:E)</f>
        <v>0</v>
      </c>
    </row>
    <row r="41" spans="9:9" x14ac:dyDescent="0.35">
      <c r="I41">
        <f>SUMIF('Daily Log'!B:B,A41,'Daily Log'!E:E)</f>
        <v>0</v>
      </c>
    </row>
    <row r="42" spans="9:9" x14ac:dyDescent="0.35">
      <c r="I42">
        <f>SUMIF('Daily Log'!B:B,A42,'Daily Log'!E:E)</f>
        <v>0</v>
      </c>
    </row>
    <row r="43" spans="9:9" x14ac:dyDescent="0.35">
      <c r="I43">
        <f>SUMIF('Daily Log'!B:B,A43,'Daily Log'!E:E)</f>
        <v>0</v>
      </c>
    </row>
    <row r="44" spans="9:9" x14ac:dyDescent="0.35">
      <c r="I44">
        <f>SUMIF('Daily Log'!B:B,A44,'Daily Log'!E:E)</f>
        <v>0</v>
      </c>
    </row>
    <row r="45" spans="9:9" x14ac:dyDescent="0.35">
      <c r="I45">
        <f>SUMIF('Daily Log'!B:B,A45,'Daily Log'!E:E)</f>
        <v>0</v>
      </c>
    </row>
    <row r="46" spans="9:9" x14ac:dyDescent="0.35">
      <c r="I46">
        <f>SUMIF('Daily Log'!B:B,A46,'Daily Log'!E:E)</f>
        <v>0</v>
      </c>
    </row>
    <row r="47" spans="9:9" x14ac:dyDescent="0.35">
      <c r="I47">
        <f>SUMIF('Daily Log'!B:B,A47,'Daily Log'!E:E)</f>
        <v>0</v>
      </c>
    </row>
    <row r="48" spans="9:9" x14ac:dyDescent="0.35">
      <c r="I48">
        <f>SUMIF('Daily Log'!B:B,A48,'Daily Log'!E:E)</f>
        <v>0</v>
      </c>
    </row>
    <row r="49" spans="9:9" x14ac:dyDescent="0.35">
      <c r="I49">
        <f>SUMIF('Daily Log'!B:B,A49,'Daily Log'!E:E)</f>
        <v>0</v>
      </c>
    </row>
    <row r="50" spans="9:9" x14ac:dyDescent="0.35">
      <c r="I50">
        <f>SUMIF('Daily Log'!B:B,A50,'Daily Log'!E:E)</f>
        <v>0</v>
      </c>
    </row>
    <row r="51" spans="9:9" x14ac:dyDescent="0.35">
      <c r="I51">
        <f>SUMIF('Daily Log'!B:B,A51,'Daily Log'!E:E)</f>
        <v>0</v>
      </c>
    </row>
    <row r="52" spans="9:9" x14ac:dyDescent="0.35">
      <c r="I52">
        <f>SUMIF('Daily Log'!B:B,A52,'Daily Log'!E:E)</f>
        <v>0</v>
      </c>
    </row>
    <row r="53" spans="9:9" x14ac:dyDescent="0.35">
      <c r="I53">
        <f>SUMIF('Daily Log'!B:B,A53,'Daily Log'!E:E)</f>
        <v>0</v>
      </c>
    </row>
    <row r="54" spans="9:9" x14ac:dyDescent="0.35">
      <c r="I54">
        <f>SUMIF('Daily Log'!B:B,A54,'Daily Log'!E:E)</f>
        <v>0</v>
      </c>
    </row>
    <row r="55" spans="9:9" x14ac:dyDescent="0.35">
      <c r="I55">
        <f>SUMIF('Daily Log'!B:B,A55,'Daily Log'!E:E)</f>
        <v>0</v>
      </c>
    </row>
    <row r="56" spans="9:9" x14ac:dyDescent="0.35">
      <c r="I56">
        <f>SUMIF('Daily Log'!B:B,A56,'Daily Log'!E:E)</f>
        <v>0</v>
      </c>
    </row>
    <row r="57" spans="9:9" x14ac:dyDescent="0.35">
      <c r="I57">
        <f>SUMIF('Daily Log'!B:B,A57,'Daily Log'!E:E)</f>
        <v>0</v>
      </c>
    </row>
    <row r="58" spans="9:9" x14ac:dyDescent="0.35">
      <c r="I58">
        <f>SUMIF('Daily Log'!B:B,A58,'Daily Log'!E:E)</f>
        <v>0</v>
      </c>
    </row>
    <row r="59" spans="9:9" x14ac:dyDescent="0.35">
      <c r="I59">
        <f>SUMIF('Daily Log'!B:B,A59,'Daily Log'!E:E)</f>
        <v>0</v>
      </c>
    </row>
    <row r="60" spans="9:9" x14ac:dyDescent="0.35">
      <c r="I60">
        <f>SUMIF('Daily Log'!B:B,A60,'Daily Log'!E:E)</f>
        <v>0</v>
      </c>
    </row>
    <row r="61" spans="9:9" x14ac:dyDescent="0.35">
      <c r="I61">
        <f>SUMIF('Daily Log'!B:B,A61,'Daily Log'!E:E)</f>
        <v>0</v>
      </c>
    </row>
    <row r="62" spans="9:9" x14ac:dyDescent="0.35">
      <c r="I62">
        <f>SUMIF('Daily Log'!B:B,A62,'Daily Log'!E:E)</f>
        <v>0</v>
      </c>
    </row>
    <row r="63" spans="9:9" x14ac:dyDescent="0.35">
      <c r="I63">
        <f>SUMIF('Daily Log'!B:B,A63,'Daily Log'!E:E)</f>
        <v>0</v>
      </c>
    </row>
    <row r="64" spans="9:9" x14ac:dyDescent="0.35">
      <c r="I64">
        <f>SUMIF('Daily Log'!B:B,A64,'Daily Log'!E:E)</f>
        <v>0</v>
      </c>
    </row>
    <row r="65" spans="9:9" x14ac:dyDescent="0.35">
      <c r="I65">
        <f>SUMIF('Daily Log'!B:B,A65,'Daily Log'!E:E)</f>
        <v>0</v>
      </c>
    </row>
    <row r="66" spans="9:9" x14ac:dyDescent="0.35">
      <c r="I66">
        <f>SUMIF('Daily Log'!B:B,A66,'Daily Log'!E:E)</f>
        <v>0</v>
      </c>
    </row>
    <row r="67" spans="9:9" x14ac:dyDescent="0.35">
      <c r="I67">
        <f>SUMIF('Daily Log'!B:B,A67,'Daily Log'!E:E)</f>
        <v>0</v>
      </c>
    </row>
    <row r="68" spans="9:9" x14ac:dyDescent="0.35">
      <c r="I68">
        <f>SUMIF('Daily Log'!B:B,A68,'Daily Log'!E:E)</f>
        <v>0</v>
      </c>
    </row>
    <row r="69" spans="9:9" x14ac:dyDescent="0.35">
      <c r="I69">
        <f>SUMIF('Daily Log'!B:B,A69,'Daily Log'!E:E)</f>
        <v>0</v>
      </c>
    </row>
    <row r="70" spans="9:9" x14ac:dyDescent="0.35">
      <c r="I70">
        <f>SUMIF('Daily Log'!B:B,A70,'Daily Log'!E:E)</f>
        <v>0</v>
      </c>
    </row>
    <row r="71" spans="9:9" x14ac:dyDescent="0.35">
      <c r="I71">
        <f>SUMIF('Daily Log'!B:B,A71,'Daily Log'!E:E)</f>
        <v>0</v>
      </c>
    </row>
    <row r="72" spans="9:9" x14ac:dyDescent="0.35">
      <c r="I72">
        <f>SUMIF('Daily Log'!B:B,A72,'Daily Log'!E:E)</f>
        <v>0</v>
      </c>
    </row>
    <row r="73" spans="9:9" x14ac:dyDescent="0.35">
      <c r="I73">
        <f>SUMIF('Daily Log'!B:B,A73,'Daily Log'!E:E)</f>
        <v>0</v>
      </c>
    </row>
    <row r="74" spans="9:9" x14ac:dyDescent="0.35">
      <c r="I74">
        <f>SUMIF('Daily Log'!B:B,A74,'Daily Log'!E:E)</f>
        <v>0</v>
      </c>
    </row>
    <row r="75" spans="9:9" x14ac:dyDescent="0.35">
      <c r="I75">
        <f>SUMIF('Daily Log'!B:B,A75,'Daily Log'!E:E)</f>
        <v>0</v>
      </c>
    </row>
    <row r="76" spans="9:9" x14ac:dyDescent="0.35">
      <c r="I76">
        <f>SUMIF('Daily Log'!B:B,A76,'Daily Log'!E:E)</f>
        <v>0</v>
      </c>
    </row>
    <row r="77" spans="9:9" x14ac:dyDescent="0.35">
      <c r="I77">
        <f>SUMIF('Daily Log'!B:B,A77,'Daily Log'!E:E)</f>
        <v>0</v>
      </c>
    </row>
    <row r="78" spans="9:9" x14ac:dyDescent="0.35">
      <c r="I78">
        <f>SUMIF('Daily Log'!B:B,A78,'Daily Log'!E:E)</f>
        <v>0</v>
      </c>
    </row>
    <row r="79" spans="9:9" x14ac:dyDescent="0.35">
      <c r="I79">
        <f>SUMIF('Daily Log'!B:B,A79,'Daily Log'!E:E)</f>
        <v>0</v>
      </c>
    </row>
    <row r="80" spans="9:9" x14ac:dyDescent="0.35">
      <c r="I80">
        <f>SUMIF('Daily Log'!B:B,A80,'Daily Log'!E:E)</f>
        <v>0</v>
      </c>
    </row>
    <row r="81" spans="9:9" x14ac:dyDescent="0.35">
      <c r="I81">
        <f>SUMIF('Daily Log'!B:B,A81,'Daily Log'!E:E)</f>
        <v>0</v>
      </c>
    </row>
    <row r="82" spans="9:9" x14ac:dyDescent="0.35">
      <c r="I82">
        <f>SUMIF('Daily Log'!B:B,A82,'Daily Log'!E:E)</f>
        <v>0</v>
      </c>
    </row>
    <row r="83" spans="9:9" x14ac:dyDescent="0.35">
      <c r="I83">
        <f>SUMIF('Daily Log'!B:B,A83,'Daily Log'!E:E)</f>
        <v>0</v>
      </c>
    </row>
    <row r="84" spans="9:9" x14ac:dyDescent="0.35">
      <c r="I84">
        <f>SUMIF('Daily Log'!B:B,A84,'Daily Log'!E:E)</f>
        <v>0</v>
      </c>
    </row>
    <row r="85" spans="9:9" x14ac:dyDescent="0.35">
      <c r="I85">
        <f>SUMIF('Daily Log'!B:B,A85,'Daily Log'!E:E)</f>
        <v>0</v>
      </c>
    </row>
    <row r="86" spans="9:9" x14ac:dyDescent="0.35">
      <c r="I86">
        <f>SUMIF('Daily Log'!B:B,A86,'Daily Log'!E:E)</f>
        <v>0</v>
      </c>
    </row>
    <row r="87" spans="9:9" x14ac:dyDescent="0.35">
      <c r="I87">
        <f>SUMIF('Daily Log'!B:B,A87,'Daily Log'!E:E)</f>
        <v>0</v>
      </c>
    </row>
    <row r="88" spans="9:9" x14ac:dyDescent="0.35">
      <c r="I88">
        <f>SUMIF('Daily Log'!B:B,A88,'Daily Log'!E:E)</f>
        <v>0</v>
      </c>
    </row>
    <row r="89" spans="9:9" x14ac:dyDescent="0.35">
      <c r="I89">
        <f>SUMIF('Daily Log'!B:B,A89,'Daily Log'!E:E)</f>
        <v>0</v>
      </c>
    </row>
    <row r="90" spans="9:9" x14ac:dyDescent="0.35">
      <c r="I90">
        <f>SUMIF('Daily Log'!B:B,A90,'Daily Log'!E:E)</f>
        <v>0</v>
      </c>
    </row>
    <row r="91" spans="9:9" x14ac:dyDescent="0.35">
      <c r="I91">
        <f>SUMIF('Daily Log'!B:B,A91,'Daily Log'!E:E)</f>
        <v>0</v>
      </c>
    </row>
    <row r="92" spans="9:9" x14ac:dyDescent="0.35">
      <c r="I92">
        <f>SUMIF('Daily Log'!B:B,A92,'Daily Log'!E:E)</f>
        <v>0</v>
      </c>
    </row>
    <row r="93" spans="9:9" x14ac:dyDescent="0.35">
      <c r="I93">
        <f>SUMIF('Daily Log'!B:B,A93,'Daily Log'!E:E)</f>
        <v>0</v>
      </c>
    </row>
    <row r="94" spans="9:9" x14ac:dyDescent="0.35">
      <c r="I94">
        <f>SUMIF('Daily Log'!B:B,A94,'Daily Log'!E:E)</f>
        <v>0</v>
      </c>
    </row>
    <row r="95" spans="9:9" x14ac:dyDescent="0.35">
      <c r="I95">
        <f>SUMIF('Daily Log'!B:B,A95,'Daily Log'!E:E)</f>
        <v>0</v>
      </c>
    </row>
    <row r="96" spans="9:9" x14ac:dyDescent="0.35">
      <c r="I96">
        <f>SUMIF('Daily Log'!B:B,A96,'Daily Log'!E:E)</f>
        <v>0</v>
      </c>
    </row>
    <row r="97" spans="9:9" x14ac:dyDescent="0.35">
      <c r="I97">
        <f>SUMIF('Daily Log'!B:B,A97,'Daily Log'!E:E)</f>
        <v>0</v>
      </c>
    </row>
    <row r="98" spans="9:9" x14ac:dyDescent="0.35">
      <c r="I98">
        <f>SUMIF('Daily Log'!B:B,A98,'Daily Log'!E:E)</f>
        <v>0</v>
      </c>
    </row>
    <row r="99" spans="9:9" x14ac:dyDescent="0.35">
      <c r="I99">
        <f>SUMIF('Daily Log'!B:B,A99,'Daily Log'!E:E)</f>
        <v>0</v>
      </c>
    </row>
    <row r="100" spans="9:9" x14ac:dyDescent="0.35">
      <c r="I100">
        <f>SUMIF('Daily Log'!B:B,A100,'Daily Log'!E:E)</f>
        <v>0</v>
      </c>
    </row>
    <row r="101" spans="9:9" x14ac:dyDescent="0.35">
      <c r="I101">
        <f>SUMIF('Daily Log'!B:B,A101,'Daily Log'!E:E)</f>
        <v>0</v>
      </c>
    </row>
    <row r="102" spans="9:9" x14ac:dyDescent="0.35">
      <c r="I102">
        <f>SUMIF('Daily Log'!B:B,A102,'Daily Log'!E:E)</f>
        <v>0</v>
      </c>
    </row>
    <row r="103" spans="9:9" x14ac:dyDescent="0.35">
      <c r="I103">
        <f>SUMIF('Daily Log'!B:B,A103,'Daily Log'!E:E)</f>
        <v>0</v>
      </c>
    </row>
    <row r="104" spans="9:9" x14ac:dyDescent="0.35">
      <c r="I104">
        <f>SUMIF('Daily Log'!B:B,A104,'Daily Log'!E:E)</f>
        <v>0</v>
      </c>
    </row>
    <row r="105" spans="9:9" x14ac:dyDescent="0.35">
      <c r="I105">
        <f>SUMIF('Daily Log'!B:B,A105,'Daily Log'!E:E)</f>
        <v>0</v>
      </c>
    </row>
    <row r="106" spans="9:9" x14ac:dyDescent="0.35">
      <c r="I106">
        <f>SUMIF('Daily Log'!B:B,A106,'Daily Log'!E:E)</f>
        <v>0</v>
      </c>
    </row>
    <row r="107" spans="9:9" x14ac:dyDescent="0.35">
      <c r="I107">
        <f>SUMIF('Daily Log'!B:B,A107,'Daily Log'!E:E)</f>
        <v>0</v>
      </c>
    </row>
    <row r="108" spans="9:9" x14ac:dyDescent="0.35">
      <c r="I108">
        <f>SUMIF('Daily Log'!B:B,A108,'Daily Log'!E:E)</f>
        <v>0</v>
      </c>
    </row>
    <row r="109" spans="9:9" x14ac:dyDescent="0.35">
      <c r="I109">
        <f>SUMIF('Daily Log'!B:B,A109,'Daily Log'!E:E)</f>
        <v>0</v>
      </c>
    </row>
    <row r="110" spans="9:9" x14ac:dyDescent="0.35">
      <c r="I110">
        <f>SUMIF('Daily Log'!B:B,A110,'Daily Log'!E:E)</f>
        <v>0</v>
      </c>
    </row>
    <row r="111" spans="9:9" x14ac:dyDescent="0.35">
      <c r="I111">
        <f>SUMIF('Daily Log'!B:B,A111,'Daily Log'!E:E)</f>
        <v>0</v>
      </c>
    </row>
    <row r="112" spans="9:9" x14ac:dyDescent="0.35">
      <c r="I112">
        <f>SUMIF('Daily Log'!B:B,A112,'Daily Log'!E:E)</f>
        <v>0</v>
      </c>
    </row>
    <row r="113" spans="9:9" x14ac:dyDescent="0.35">
      <c r="I113">
        <f>SUMIF('Daily Log'!B:B,A113,'Daily Log'!E:E)</f>
        <v>0</v>
      </c>
    </row>
    <row r="114" spans="9:9" x14ac:dyDescent="0.35">
      <c r="I114">
        <f>SUMIF('Daily Log'!B:B,A114,'Daily Log'!E:E)</f>
        <v>0</v>
      </c>
    </row>
    <row r="115" spans="9:9" x14ac:dyDescent="0.35">
      <c r="I115">
        <f>SUMIF('Daily Log'!B:B,A115,'Daily Log'!E:E)</f>
        <v>0</v>
      </c>
    </row>
    <row r="116" spans="9:9" x14ac:dyDescent="0.35">
      <c r="I116">
        <f>SUMIF('Daily Log'!B:B,A116,'Daily Log'!E:E)</f>
        <v>0</v>
      </c>
    </row>
    <row r="117" spans="9:9" x14ac:dyDescent="0.35">
      <c r="I117">
        <f>SUMIF('Daily Log'!B:B,A117,'Daily Log'!E:E)</f>
        <v>0</v>
      </c>
    </row>
    <row r="118" spans="9:9" x14ac:dyDescent="0.35">
      <c r="I118">
        <f>SUMIF('Daily Log'!B:B,A118,'Daily Log'!E:E)</f>
        <v>0</v>
      </c>
    </row>
    <row r="119" spans="9:9" x14ac:dyDescent="0.35">
      <c r="I119">
        <f>SUMIF('Daily Log'!B:B,A119,'Daily Log'!E:E)</f>
        <v>0</v>
      </c>
    </row>
    <row r="120" spans="9:9" x14ac:dyDescent="0.35">
      <c r="I120">
        <f>SUMIF('Daily Log'!B:B,A120,'Daily Log'!E:E)</f>
        <v>0</v>
      </c>
    </row>
    <row r="121" spans="9:9" x14ac:dyDescent="0.35">
      <c r="I121">
        <f>SUMIF('Daily Log'!B:B,A121,'Daily Log'!E:E)</f>
        <v>0</v>
      </c>
    </row>
    <row r="122" spans="9:9" x14ac:dyDescent="0.35">
      <c r="I122">
        <f>SUMIF('Daily Log'!B:B,A122,'Daily Log'!E:E)</f>
        <v>0</v>
      </c>
    </row>
    <row r="123" spans="9:9" x14ac:dyDescent="0.35">
      <c r="I123">
        <f>SUMIF('Daily Log'!B:B,A123,'Daily Log'!E:E)</f>
        <v>0</v>
      </c>
    </row>
    <row r="124" spans="9:9" x14ac:dyDescent="0.35">
      <c r="I124">
        <f>SUMIF('Daily Log'!B:B,A124,'Daily Log'!E:E)</f>
        <v>0</v>
      </c>
    </row>
    <row r="125" spans="9:9" x14ac:dyDescent="0.35">
      <c r="I125">
        <f>SUMIF('Daily Log'!B:B,A125,'Daily Log'!E:E)</f>
        <v>0</v>
      </c>
    </row>
    <row r="126" spans="9:9" x14ac:dyDescent="0.35">
      <c r="I126">
        <f>SUMIF('Daily Log'!B:B,A126,'Daily Log'!E:E)</f>
        <v>0</v>
      </c>
    </row>
    <row r="127" spans="9:9" x14ac:dyDescent="0.35">
      <c r="I127">
        <f>SUMIF('Daily Log'!B:B,A127,'Daily Log'!E:E)</f>
        <v>0</v>
      </c>
    </row>
    <row r="128" spans="9:9" x14ac:dyDescent="0.35">
      <c r="I128">
        <f>SUMIF('Daily Log'!B:B,A128,'Daily Log'!E:E)</f>
        <v>0</v>
      </c>
    </row>
    <row r="129" spans="9:9" x14ac:dyDescent="0.35">
      <c r="I129">
        <f>SUMIF('Daily Log'!B:B,A129,'Daily Log'!E:E)</f>
        <v>0</v>
      </c>
    </row>
    <row r="130" spans="9:9" x14ac:dyDescent="0.35">
      <c r="I130">
        <f>SUMIF('Daily Log'!B:B,A130,'Daily Log'!E:E)</f>
        <v>0</v>
      </c>
    </row>
    <row r="131" spans="9:9" x14ac:dyDescent="0.35">
      <c r="I131">
        <f>SUMIF('Daily Log'!B:B,A131,'Daily Log'!E:E)</f>
        <v>0</v>
      </c>
    </row>
    <row r="132" spans="9:9" x14ac:dyDescent="0.35">
      <c r="I132">
        <f>SUMIF('Daily Log'!B:B,A132,'Daily Log'!E:E)</f>
        <v>0</v>
      </c>
    </row>
    <row r="133" spans="9:9" x14ac:dyDescent="0.35">
      <c r="I133">
        <f>SUMIF('Daily Log'!B:B,A133,'Daily Log'!E:E)</f>
        <v>0</v>
      </c>
    </row>
    <row r="134" spans="9:9" x14ac:dyDescent="0.35">
      <c r="I134">
        <f>SUMIF('Daily Log'!B:B,A134,'Daily Log'!E:E)</f>
        <v>0</v>
      </c>
    </row>
    <row r="135" spans="9:9" x14ac:dyDescent="0.35">
      <c r="I135">
        <f>SUMIF('Daily Log'!B:B,A135,'Daily Log'!E:E)</f>
        <v>0</v>
      </c>
    </row>
    <row r="136" spans="9:9" x14ac:dyDescent="0.35">
      <c r="I136">
        <f>SUMIF('Daily Log'!B:B,A136,'Daily Log'!E:E)</f>
        <v>0</v>
      </c>
    </row>
    <row r="137" spans="9:9" x14ac:dyDescent="0.35">
      <c r="I137">
        <f>SUMIF('Daily Log'!B:B,A137,'Daily Log'!E:E)</f>
        <v>0</v>
      </c>
    </row>
    <row r="138" spans="9:9" x14ac:dyDescent="0.35">
      <c r="I138">
        <f>SUMIF('Daily Log'!B:B,A138,'Daily Log'!E:E)</f>
        <v>0</v>
      </c>
    </row>
    <row r="139" spans="9:9" x14ac:dyDescent="0.35">
      <c r="I139">
        <f>SUMIF('Daily Log'!B:B,A139,'Daily Log'!E:E)</f>
        <v>0</v>
      </c>
    </row>
    <row r="140" spans="9:9" x14ac:dyDescent="0.35">
      <c r="I140">
        <f>SUMIF('Daily Log'!B:B,A140,'Daily Log'!E:E)</f>
        <v>0</v>
      </c>
    </row>
    <row r="141" spans="9:9" x14ac:dyDescent="0.35">
      <c r="I141">
        <f>SUMIF('Daily Log'!B:B,A141,'Daily Log'!E:E)</f>
        <v>0</v>
      </c>
    </row>
    <row r="142" spans="9:9" x14ac:dyDescent="0.35">
      <c r="I142">
        <f>SUMIF('Daily Log'!B:B,A142,'Daily Log'!E:E)</f>
        <v>0</v>
      </c>
    </row>
    <row r="143" spans="9:9" x14ac:dyDescent="0.35">
      <c r="I143">
        <f>SUMIF('Daily Log'!B:B,A143,'Daily Log'!E:E)</f>
        <v>0</v>
      </c>
    </row>
    <row r="144" spans="9:9" x14ac:dyDescent="0.35">
      <c r="I144">
        <f>SUMIF('Daily Log'!B:B,A144,'Daily Log'!E:E)</f>
        <v>0</v>
      </c>
    </row>
    <row r="145" spans="9:9" x14ac:dyDescent="0.35">
      <c r="I145">
        <f>SUMIF('Daily Log'!B:B,A145,'Daily Log'!E:E)</f>
        <v>0</v>
      </c>
    </row>
    <row r="146" spans="9:9" x14ac:dyDescent="0.35">
      <c r="I146">
        <f>SUMIF('Daily Log'!B:B,A146,'Daily Log'!E:E)</f>
        <v>0</v>
      </c>
    </row>
    <row r="147" spans="9:9" x14ac:dyDescent="0.35">
      <c r="I147">
        <f>SUMIF('Daily Log'!B:B,A147,'Daily Log'!E:E)</f>
        <v>0</v>
      </c>
    </row>
    <row r="148" spans="9:9" x14ac:dyDescent="0.35">
      <c r="I148">
        <f>SUMIF('Daily Log'!B:B,A148,'Daily Log'!E:E)</f>
        <v>0</v>
      </c>
    </row>
    <row r="149" spans="9:9" x14ac:dyDescent="0.35">
      <c r="I149">
        <f>SUMIF('Daily Log'!B:B,A149,'Daily Log'!E:E)</f>
        <v>0</v>
      </c>
    </row>
    <row r="150" spans="9:9" x14ac:dyDescent="0.35">
      <c r="I150">
        <f>SUMIF('Daily Log'!B:B,A150,'Daily Log'!E:E)</f>
        <v>0</v>
      </c>
    </row>
    <row r="151" spans="9:9" x14ac:dyDescent="0.35">
      <c r="I151">
        <f>SUMIF('Daily Log'!B:B,A151,'Daily Log'!E:E)</f>
        <v>0</v>
      </c>
    </row>
    <row r="152" spans="9:9" x14ac:dyDescent="0.35">
      <c r="I152">
        <f>SUMIF('Daily Log'!B:B,A152,'Daily Log'!E:E)</f>
        <v>0</v>
      </c>
    </row>
    <row r="153" spans="9:9" x14ac:dyDescent="0.35">
      <c r="I153">
        <f>SUMIF('Daily Log'!B:B,A153,'Daily Log'!E:E)</f>
        <v>0</v>
      </c>
    </row>
    <row r="154" spans="9:9" x14ac:dyDescent="0.35">
      <c r="I154">
        <f>SUMIF('Daily Log'!B:B,A154,'Daily Log'!E:E)</f>
        <v>0</v>
      </c>
    </row>
    <row r="155" spans="9:9" x14ac:dyDescent="0.35">
      <c r="I155">
        <f>SUMIF('Daily Log'!B:B,A155,'Daily Log'!E:E)</f>
        <v>0</v>
      </c>
    </row>
    <row r="156" spans="9:9" x14ac:dyDescent="0.35">
      <c r="I156">
        <f>SUMIF('Daily Log'!B:B,A156,'Daily Log'!E:E)</f>
        <v>0</v>
      </c>
    </row>
    <row r="157" spans="9:9" x14ac:dyDescent="0.35">
      <c r="I157">
        <f>SUMIF('Daily Log'!B:B,A157,'Daily Log'!E:E)</f>
        <v>0</v>
      </c>
    </row>
    <row r="158" spans="9:9" x14ac:dyDescent="0.35">
      <c r="I158">
        <f>SUMIF('Daily Log'!B:B,A158,'Daily Log'!E:E)</f>
        <v>0</v>
      </c>
    </row>
    <row r="159" spans="9:9" x14ac:dyDescent="0.35">
      <c r="I159">
        <f>SUMIF('Daily Log'!B:B,A159,'Daily Log'!E:E)</f>
        <v>0</v>
      </c>
    </row>
    <row r="160" spans="9:9" x14ac:dyDescent="0.35">
      <c r="I160">
        <f>SUMIF('Daily Log'!B:B,A160,'Daily Log'!E:E)</f>
        <v>0</v>
      </c>
    </row>
    <row r="161" spans="9:9" x14ac:dyDescent="0.35">
      <c r="I161">
        <f>SUMIF('Daily Log'!B:B,A161,'Daily Log'!E:E)</f>
        <v>0</v>
      </c>
    </row>
    <row r="162" spans="9:9" x14ac:dyDescent="0.35">
      <c r="I162">
        <f>SUMIF('Daily Log'!B:B,A162,'Daily Log'!E:E)</f>
        <v>0</v>
      </c>
    </row>
    <row r="163" spans="9:9" x14ac:dyDescent="0.35">
      <c r="I163">
        <f>SUMIF('Daily Log'!B:B,A163,'Daily Log'!E:E)</f>
        <v>0</v>
      </c>
    </row>
    <row r="164" spans="9:9" x14ac:dyDescent="0.35">
      <c r="I164">
        <f>SUMIF('Daily Log'!B:B,A164,'Daily Log'!E:E)</f>
        <v>0</v>
      </c>
    </row>
    <row r="165" spans="9:9" x14ac:dyDescent="0.35">
      <c r="I165">
        <f>SUMIF('Daily Log'!B:B,A165,'Daily Log'!E:E)</f>
        <v>0</v>
      </c>
    </row>
    <row r="166" spans="9:9" x14ac:dyDescent="0.35">
      <c r="I166">
        <f>SUMIF('Daily Log'!B:B,A166,'Daily Log'!E:E)</f>
        <v>0</v>
      </c>
    </row>
    <row r="167" spans="9:9" x14ac:dyDescent="0.35">
      <c r="I167">
        <f>SUMIF('Daily Log'!B:B,A167,'Daily Log'!E:E)</f>
        <v>0</v>
      </c>
    </row>
    <row r="168" spans="9:9" x14ac:dyDescent="0.35">
      <c r="I168">
        <f>SUMIF('Daily Log'!B:B,A168,'Daily Log'!E:E)</f>
        <v>0</v>
      </c>
    </row>
    <row r="169" spans="9:9" x14ac:dyDescent="0.35">
      <c r="I169">
        <f>SUMIF('Daily Log'!B:B,A169,'Daily Log'!E:E)</f>
        <v>0</v>
      </c>
    </row>
    <row r="170" spans="9:9" x14ac:dyDescent="0.35">
      <c r="I170">
        <f>SUMIF('Daily Log'!B:B,A170,'Daily Log'!E:E)</f>
        <v>0</v>
      </c>
    </row>
    <row r="171" spans="9:9" x14ac:dyDescent="0.35">
      <c r="I171">
        <f>SUMIF('Daily Log'!B:B,A171,'Daily Log'!E:E)</f>
        <v>0</v>
      </c>
    </row>
    <row r="172" spans="9:9" x14ac:dyDescent="0.35">
      <c r="I172">
        <f>SUMIF('Daily Log'!B:B,A172,'Daily Log'!E:E)</f>
        <v>0</v>
      </c>
    </row>
    <row r="173" spans="9:9" x14ac:dyDescent="0.35">
      <c r="I173">
        <f>SUMIF('Daily Log'!B:B,A173,'Daily Log'!E:E)</f>
        <v>0</v>
      </c>
    </row>
    <row r="174" spans="9:9" x14ac:dyDescent="0.35">
      <c r="I174">
        <f>SUMIF('Daily Log'!B:B,A174,'Daily Log'!E:E)</f>
        <v>0</v>
      </c>
    </row>
    <row r="175" spans="9:9" x14ac:dyDescent="0.35">
      <c r="I175">
        <f>SUMIF('Daily Log'!B:B,A175,'Daily Log'!E:E)</f>
        <v>0</v>
      </c>
    </row>
    <row r="176" spans="9:9" x14ac:dyDescent="0.35">
      <c r="I176">
        <f>SUMIF('Daily Log'!B:B,A176,'Daily Log'!E:E)</f>
        <v>0</v>
      </c>
    </row>
    <row r="177" spans="9:9" x14ac:dyDescent="0.35">
      <c r="I177">
        <f>SUMIF('Daily Log'!B:B,A177,'Daily Log'!E:E)</f>
        <v>0</v>
      </c>
    </row>
    <row r="178" spans="9:9" x14ac:dyDescent="0.35">
      <c r="I178">
        <f>SUMIF('Daily Log'!B:B,A178,'Daily Log'!E:E)</f>
        <v>0</v>
      </c>
    </row>
    <row r="179" spans="9:9" x14ac:dyDescent="0.35">
      <c r="I179">
        <f>SUMIF('Daily Log'!B:B,A179,'Daily Log'!E:E)</f>
        <v>0</v>
      </c>
    </row>
    <row r="180" spans="9:9" x14ac:dyDescent="0.35">
      <c r="I180">
        <f>SUMIF('Daily Log'!B:B,A180,'Daily Log'!E:E)</f>
        <v>0</v>
      </c>
    </row>
    <row r="181" spans="9:9" x14ac:dyDescent="0.35">
      <c r="I181">
        <f>SUMIF('Daily Log'!B:B,A181,'Daily Log'!E:E)</f>
        <v>0</v>
      </c>
    </row>
    <row r="182" spans="9:9" x14ac:dyDescent="0.35">
      <c r="I182">
        <f>SUMIF('Daily Log'!B:B,A182,'Daily Log'!E:E)</f>
        <v>0</v>
      </c>
    </row>
    <row r="183" spans="9:9" x14ac:dyDescent="0.35">
      <c r="I183">
        <f>SUMIF('Daily Log'!B:B,A183,'Daily Log'!E:E)</f>
        <v>0</v>
      </c>
    </row>
    <row r="184" spans="9:9" x14ac:dyDescent="0.35">
      <c r="I184">
        <f>SUMIF('Daily Log'!B:B,A184,'Daily Log'!E:E)</f>
        <v>0</v>
      </c>
    </row>
    <row r="185" spans="9:9" x14ac:dyDescent="0.35">
      <c r="I185">
        <f>SUMIF('Daily Log'!B:B,A185,'Daily Log'!E:E)</f>
        <v>0</v>
      </c>
    </row>
    <row r="186" spans="9:9" x14ac:dyDescent="0.35">
      <c r="I186">
        <f>SUMIF('Daily Log'!B:B,A186,'Daily Log'!E:E)</f>
        <v>0</v>
      </c>
    </row>
    <row r="187" spans="9:9" x14ac:dyDescent="0.35">
      <c r="I187">
        <f>SUMIF('Daily Log'!B:B,A187,'Daily Log'!E:E)</f>
        <v>0</v>
      </c>
    </row>
    <row r="188" spans="9:9" x14ac:dyDescent="0.35">
      <c r="I188">
        <f>SUMIF('Daily Log'!B:B,A188,'Daily Log'!E:E)</f>
        <v>0</v>
      </c>
    </row>
    <row r="189" spans="9:9" x14ac:dyDescent="0.35">
      <c r="I189">
        <f>SUMIF('Daily Log'!B:B,A189,'Daily Log'!E:E)</f>
        <v>0</v>
      </c>
    </row>
    <row r="190" spans="9:9" x14ac:dyDescent="0.35">
      <c r="I190">
        <f>SUMIF('Daily Log'!B:B,A190,'Daily Log'!E:E)</f>
        <v>0</v>
      </c>
    </row>
    <row r="191" spans="9:9" x14ac:dyDescent="0.35">
      <c r="I191">
        <f>SUMIF('Daily Log'!B:B,A191,'Daily Log'!E:E)</f>
        <v>0</v>
      </c>
    </row>
    <row r="192" spans="9:9" x14ac:dyDescent="0.35">
      <c r="I192">
        <f>SUMIF('Daily Log'!B:B,A192,'Daily Log'!E:E)</f>
        <v>0</v>
      </c>
    </row>
    <row r="193" spans="9:9" x14ac:dyDescent="0.35">
      <c r="I193">
        <f>SUMIF('Daily Log'!B:B,A193,'Daily Log'!E:E)</f>
        <v>0</v>
      </c>
    </row>
    <row r="194" spans="9:9" x14ac:dyDescent="0.35">
      <c r="I194">
        <f>SUMIF('Daily Log'!B:B,A194,'Daily Log'!E:E)</f>
        <v>0</v>
      </c>
    </row>
    <row r="195" spans="9:9" x14ac:dyDescent="0.35">
      <c r="I195">
        <f>SUMIF('Daily Log'!B:B,A195,'Daily Log'!E:E)</f>
        <v>0</v>
      </c>
    </row>
    <row r="196" spans="9:9" x14ac:dyDescent="0.35">
      <c r="I196">
        <f>SUMIF('Daily Log'!B:B,A196,'Daily Log'!E:E)</f>
        <v>0</v>
      </c>
    </row>
    <row r="197" spans="9:9" x14ac:dyDescent="0.35">
      <c r="I197">
        <f>SUMIF('Daily Log'!B:B,A197,'Daily Log'!E:E)</f>
        <v>0</v>
      </c>
    </row>
    <row r="198" spans="9:9" x14ac:dyDescent="0.35">
      <c r="I198">
        <f>SUMIF('Daily Log'!B:B,A198,'Daily Log'!E:E)</f>
        <v>0</v>
      </c>
    </row>
    <row r="199" spans="9:9" x14ac:dyDescent="0.35">
      <c r="I199">
        <f>SUMIF('Daily Log'!B:B,A199,'Daily Log'!E:E)</f>
        <v>0</v>
      </c>
    </row>
  </sheetData>
  <dataValidations count="2">
    <dataValidation type="list" sqref="C2:C500" xr:uid="{00000000-0002-0000-0000-000000000000}">
      <formula1>"Bug,Feature,DevOps,Engineering"</formula1>
    </dataValidation>
    <dataValidation type="list" sqref="D2:D500" xr:uid="{00000000-0002-0000-0000-000001000000}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99"/>
  <sheetViews>
    <sheetView tabSelected="1" workbookViewId="0">
      <selection activeCell="M8" sqref="M8"/>
    </sheetView>
  </sheetViews>
  <sheetFormatPr defaultRowHeight="14.5" x14ac:dyDescent="0.35"/>
  <sheetData>
    <row r="1" spans="1:10" x14ac:dyDescent="0.35">
      <c r="A1" t="s">
        <v>11</v>
      </c>
      <c r="B1" t="s">
        <v>0</v>
      </c>
      <c r="C1" t="s">
        <v>2</v>
      </c>
      <c r="D1" t="s">
        <v>12</v>
      </c>
      <c r="E1" t="s">
        <v>13</v>
      </c>
      <c r="F1" t="s">
        <v>14</v>
      </c>
      <c r="G1" t="s">
        <v>10</v>
      </c>
      <c r="H1" t="s">
        <v>15</v>
      </c>
      <c r="I1" t="s">
        <v>16</v>
      </c>
      <c r="J1" t="s">
        <v>17</v>
      </c>
    </row>
    <row r="2" spans="1:10" x14ac:dyDescent="0.35">
      <c r="C2" t="str">
        <f ca="1">IFERROR(_xludf.XLOOKUP(B2,'Task Master'!A:A,'Task Master'!C:C),"")</f>
        <v/>
      </c>
      <c r="H2">
        <f t="shared" ref="H2:H33" si="0">WEEKNUM(A2)</f>
        <v>0</v>
      </c>
      <c r="I2">
        <f t="shared" ref="I2:I33" si="1">MONTH(A2)</f>
        <v>1</v>
      </c>
      <c r="J2">
        <f t="shared" ref="J2:J33" si="2">YEAR(A2)</f>
        <v>1900</v>
      </c>
    </row>
    <row r="3" spans="1:10" x14ac:dyDescent="0.35">
      <c r="C3" t="str">
        <f ca="1">IFERROR(_xludf.XLOOKUP(B3,'Task Master'!A:A,'Task Master'!C:C),"")</f>
        <v/>
      </c>
      <c r="H3">
        <f t="shared" si="0"/>
        <v>0</v>
      </c>
      <c r="I3">
        <f t="shared" si="1"/>
        <v>1</v>
      </c>
      <c r="J3">
        <f t="shared" si="2"/>
        <v>1900</v>
      </c>
    </row>
    <row r="4" spans="1:10" x14ac:dyDescent="0.35">
      <c r="C4" t="str">
        <f ca="1">IFERROR(_xludf.XLOOKUP(B4,'Task Master'!A:A,'Task Master'!C:C),"")</f>
        <v/>
      </c>
      <c r="H4">
        <f t="shared" si="0"/>
        <v>0</v>
      </c>
      <c r="I4">
        <f t="shared" si="1"/>
        <v>1</v>
      </c>
      <c r="J4">
        <f t="shared" si="2"/>
        <v>1900</v>
      </c>
    </row>
    <row r="5" spans="1:10" x14ac:dyDescent="0.35">
      <c r="C5" t="str">
        <f ca="1">IFERROR(_xludf.XLOOKUP(B5,'Task Master'!A:A,'Task Master'!C:C),"")</f>
        <v/>
      </c>
      <c r="H5">
        <f t="shared" si="0"/>
        <v>0</v>
      </c>
      <c r="I5">
        <f t="shared" si="1"/>
        <v>1</v>
      </c>
      <c r="J5">
        <f t="shared" si="2"/>
        <v>1900</v>
      </c>
    </row>
    <row r="6" spans="1:10" x14ac:dyDescent="0.35">
      <c r="C6" t="str">
        <f ca="1">IFERROR(_xludf.XLOOKUP(B6,'Task Master'!A:A,'Task Master'!C:C),"")</f>
        <v/>
      </c>
      <c r="H6">
        <f t="shared" si="0"/>
        <v>0</v>
      </c>
      <c r="I6">
        <f t="shared" si="1"/>
        <v>1</v>
      </c>
      <c r="J6">
        <f t="shared" si="2"/>
        <v>1900</v>
      </c>
    </row>
    <row r="7" spans="1:10" x14ac:dyDescent="0.35">
      <c r="C7" t="str">
        <f ca="1">IFERROR(_xludf.XLOOKUP(B7,'Task Master'!A:A,'Task Master'!C:C),"")</f>
        <v/>
      </c>
      <c r="H7">
        <f t="shared" si="0"/>
        <v>0</v>
      </c>
      <c r="I7">
        <f t="shared" si="1"/>
        <v>1</v>
      </c>
      <c r="J7">
        <f t="shared" si="2"/>
        <v>1900</v>
      </c>
    </row>
    <row r="8" spans="1:10" x14ac:dyDescent="0.35">
      <c r="C8" t="str">
        <f ca="1">IFERROR(_xludf.XLOOKUP(B8,'Task Master'!A:A,'Task Master'!C:C),"")</f>
        <v/>
      </c>
      <c r="H8">
        <f t="shared" si="0"/>
        <v>0</v>
      </c>
      <c r="I8">
        <f t="shared" si="1"/>
        <v>1</v>
      </c>
      <c r="J8">
        <f t="shared" si="2"/>
        <v>1900</v>
      </c>
    </row>
    <row r="9" spans="1:10" x14ac:dyDescent="0.35">
      <c r="C9" t="str">
        <f ca="1">IFERROR(_xludf.XLOOKUP(B9,'Task Master'!A:A,'Task Master'!C:C),"")</f>
        <v/>
      </c>
      <c r="H9">
        <f t="shared" si="0"/>
        <v>0</v>
      </c>
      <c r="I9">
        <f t="shared" si="1"/>
        <v>1</v>
      </c>
      <c r="J9">
        <f t="shared" si="2"/>
        <v>1900</v>
      </c>
    </row>
    <row r="10" spans="1:10" x14ac:dyDescent="0.35">
      <c r="C10" t="str">
        <f ca="1">IFERROR(_xludf.XLOOKUP(B10,'Task Master'!A:A,'Task Master'!C:C),"")</f>
        <v/>
      </c>
      <c r="H10">
        <f t="shared" si="0"/>
        <v>0</v>
      </c>
      <c r="I10">
        <f t="shared" si="1"/>
        <v>1</v>
      </c>
      <c r="J10">
        <f t="shared" si="2"/>
        <v>1900</v>
      </c>
    </row>
    <row r="11" spans="1:10" x14ac:dyDescent="0.35">
      <c r="C11" t="str">
        <f ca="1">IFERROR(_xludf.XLOOKUP(B11,'Task Master'!A:A,'Task Master'!C:C),"")</f>
        <v/>
      </c>
      <c r="H11">
        <f t="shared" si="0"/>
        <v>0</v>
      </c>
      <c r="I11">
        <f t="shared" si="1"/>
        <v>1</v>
      </c>
      <c r="J11">
        <f t="shared" si="2"/>
        <v>1900</v>
      </c>
    </row>
    <row r="12" spans="1:10" x14ac:dyDescent="0.35">
      <c r="C12" t="str">
        <f ca="1">IFERROR(_xludf.XLOOKUP(B12,'Task Master'!A:A,'Task Master'!C:C),"")</f>
        <v/>
      </c>
      <c r="H12">
        <f t="shared" si="0"/>
        <v>0</v>
      </c>
      <c r="I12">
        <f t="shared" si="1"/>
        <v>1</v>
      </c>
      <c r="J12">
        <f t="shared" si="2"/>
        <v>1900</v>
      </c>
    </row>
    <row r="13" spans="1:10" x14ac:dyDescent="0.35">
      <c r="C13" t="str">
        <f ca="1">IFERROR(_xludf.XLOOKUP(B13,'Task Master'!A:A,'Task Master'!C:C),"")</f>
        <v/>
      </c>
      <c r="H13">
        <f t="shared" si="0"/>
        <v>0</v>
      </c>
      <c r="I13">
        <f t="shared" si="1"/>
        <v>1</v>
      </c>
      <c r="J13">
        <f t="shared" si="2"/>
        <v>1900</v>
      </c>
    </row>
    <row r="14" spans="1:10" x14ac:dyDescent="0.35">
      <c r="C14" t="str">
        <f ca="1">IFERROR(_xludf.XLOOKUP(B14,'Task Master'!A:A,'Task Master'!C:C),"")</f>
        <v/>
      </c>
      <c r="H14">
        <f t="shared" si="0"/>
        <v>0</v>
      </c>
      <c r="I14">
        <f t="shared" si="1"/>
        <v>1</v>
      </c>
      <c r="J14">
        <f t="shared" si="2"/>
        <v>1900</v>
      </c>
    </row>
    <row r="15" spans="1:10" x14ac:dyDescent="0.35">
      <c r="C15" t="str">
        <f ca="1">IFERROR(_xludf.XLOOKUP(B15,'Task Master'!A:A,'Task Master'!C:C),"")</f>
        <v/>
      </c>
      <c r="H15">
        <f t="shared" si="0"/>
        <v>0</v>
      </c>
      <c r="I15">
        <f t="shared" si="1"/>
        <v>1</v>
      </c>
      <c r="J15">
        <f t="shared" si="2"/>
        <v>1900</v>
      </c>
    </row>
    <row r="16" spans="1:10" x14ac:dyDescent="0.35">
      <c r="C16" t="str">
        <f ca="1">IFERROR(_xludf.XLOOKUP(B16,'Task Master'!A:A,'Task Master'!C:C),"")</f>
        <v/>
      </c>
      <c r="H16">
        <f t="shared" si="0"/>
        <v>0</v>
      </c>
      <c r="I16">
        <f t="shared" si="1"/>
        <v>1</v>
      </c>
      <c r="J16">
        <f t="shared" si="2"/>
        <v>1900</v>
      </c>
    </row>
    <row r="17" spans="3:10" x14ac:dyDescent="0.35">
      <c r="C17" t="str">
        <f ca="1">IFERROR(_xludf.XLOOKUP(B17,'Task Master'!A:A,'Task Master'!C:C),"")</f>
        <v/>
      </c>
      <c r="H17">
        <f t="shared" si="0"/>
        <v>0</v>
      </c>
      <c r="I17">
        <f t="shared" si="1"/>
        <v>1</v>
      </c>
      <c r="J17">
        <f t="shared" si="2"/>
        <v>1900</v>
      </c>
    </row>
    <row r="18" spans="3:10" x14ac:dyDescent="0.35">
      <c r="C18" t="str">
        <f ca="1">IFERROR(_xludf.XLOOKUP(B18,'Task Master'!A:A,'Task Master'!C:C),"")</f>
        <v/>
      </c>
      <c r="H18">
        <f t="shared" si="0"/>
        <v>0</v>
      </c>
      <c r="I18">
        <f t="shared" si="1"/>
        <v>1</v>
      </c>
      <c r="J18">
        <f t="shared" si="2"/>
        <v>1900</v>
      </c>
    </row>
    <row r="19" spans="3:10" x14ac:dyDescent="0.35">
      <c r="C19" t="str">
        <f ca="1">IFERROR(_xludf.XLOOKUP(B19,'Task Master'!A:A,'Task Master'!C:C),"")</f>
        <v/>
      </c>
      <c r="H19">
        <f t="shared" si="0"/>
        <v>0</v>
      </c>
      <c r="I19">
        <f t="shared" si="1"/>
        <v>1</v>
      </c>
      <c r="J19">
        <f t="shared" si="2"/>
        <v>1900</v>
      </c>
    </row>
    <row r="20" spans="3:10" x14ac:dyDescent="0.35">
      <c r="C20" t="str">
        <f ca="1">IFERROR(_xludf.XLOOKUP(B20,'Task Master'!A:A,'Task Master'!C:C),"")</f>
        <v/>
      </c>
      <c r="H20">
        <f t="shared" si="0"/>
        <v>0</v>
      </c>
      <c r="I20">
        <f t="shared" si="1"/>
        <v>1</v>
      </c>
      <c r="J20">
        <f t="shared" si="2"/>
        <v>1900</v>
      </c>
    </row>
    <row r="21" spans="3:10" x14ac:dyDescent="0.35">
      <c r="C21" t="str">
        <f ca="1">IFERROR(_xludf.XLOOKUP(B21,'Task Master'!A:A,'Task Master'!C:C),"")</f>
        <v/>
      </c>
      <c r="H21">
        <f t="shared" si="0"/>
        <v>0</v>
      </c>
      <c r="I21">
        <f t="shared" si="1"/>
        <v>1</v>
      </c>
      <c r="J21">
        <f t="shared" si="2"/>
        <v>1900</v>
      </c>
    </row>
    <row r="22" spans="3:10" x14ac:dyDescent="0.35">
      <c r="C22" t="str">
        <f ca="1">IFERROR(_xludf.XLOOKUP(B22,'Task Master'!A:A,'Task Master'!C:C),"")</f>
        <v/>
      </c>
      <c r="H22">
        <f t="shared" si="0"/>
        <v>0</v>
      </c>
      <c r="I22">
        <f t="shared" si="1"/>
        <v>1</v>
      </c>
      <c r="J22">
        <f t="shared" si="2"/>
        <v>1900</v>
      </c>
    </row>
    <row r="23" spans="3:10" x14ac:dyDescent="0.35">
      <c r="C23" t="str">
        <f ca="1">IFERROR(_xludf.XLOOKUP(B23,'Task Master'!A:A,'Task Master'!C:C),"")</f>
        <v/>
      </c>
      <c r="H23">
        <f t="shared" si="0"/>
        <v>0</v>
      </c>
      <c r="I23">
        <f t="shared" si="1"/>
        <v>1</v>
      </c>
      <c r="J23">
        <f t="shared" si="2"/>
        <v>1900</v>
      </c>
    </row>
    <row r="24" spans="3:10" x14ac:dyDescent="0.35">
      <c r="C24" t="str">
        <f ca="1">IFERROR(_xludf.XLOOKUP(B24,'Task Master'!A:A,'Task Master'!C:C),"")</f>
        <v/>
      </c>
      <c r="H24">
        <f t="shared" si="0"/>
        <v>0</v>
      </c>
      <c r="I24">
        <f t="shared" si="1"/>
        <v>1</v>
      </c>
      <c r="J24">
        <f t="shared" si="2"/>
        <v>1900</v>
      </c>
    </row>
    <row r="25" spans="3:10" x14ac:dyDescent="0.35">
      <c r="C25" t="str">
        <f ca="1">IFERROR(_xludf.XLOOKUP(B25,'Task Master'!A:A,'Task Master'!C:C),"")</f>
        <v/>
      </c>
      <c r="H25">
        <f t="shared" si="0"/>
        <v>0</v>
      </c>
      <c r="I25">
        <f t="shared" si="1"/>
        <v>1</v>
      </c>
      <c r="J25">
        <f t="shared" si="2"/>
        <v>1900</v>
      </c>
    </row>
    <row r="26" spans="3:10" x14ac:dyDescent="0.35">
      <c r="C26" t="str">
        <f ca="1">IFERROR(_xludf.XLOOKUP(B26,'Task Master'!A:A,'Task Master'!C:C),"")</f>
        <v/>
      </c>
      <c r="H26">
        <f t="shared" si="0"/>
        <v>0</v>
      </c>
      <c r="I26">
        <f t="shared" si="1"/>
        <v>1</v>
      </c>
      <c r="J26">
        <f t="shared" si="2"/>
        <v>1900</v>
      </c>
    </row>
    <row r="27" spans="3:10" x14ac:dyDescent="0.35">
      <c r="C27" t="str">
        <f ca="1">IFERROR(_xludf.XLOOKUP(B27,'Task Master'!A:A,'Task Master'!C:C),"")</f>
        <v/>
      </c>
      <c r="H27">
        <f t="shared" si="0"/>
        <v>0</v>
      </c>
      <c r="I27">
        <f t="shared" si="1"/>
        <v>1</v>
      </c>
      <c r="J27">
        <f t="shared" si="2"/>
        <v>1900</v>
      </c>
    </row>
    <row r="28" spans="3:10" x14ac:dyDescent="0.35">
      <c r="C28" t="str">
        <f ca="1">IFERROR(_xludf.XLOOKUP(B28,'Task Master'!A:A,'Task Master'!C:C),"")</f>
        <v/>
      </c>
      <c r="H28">
        <f t="shared" si="0"/>
        <v>0</v>
      </c>
      <c r="I28">
        <f t="shared" si="1"/>
        <v>1</v>
      </c>
      <c r="J28">
        <f t="shared" si="2"/>
        <v>1900</v>
      </c>
    </row>
    <row r="29" spans="3:10" x14ac:dyDescent="0.35">
      <c r="C29" t="str">
        <f ca="1">IFERROR(_xludf.XLOOKUP(B29,'Task Master'!A:A,'Task Master'!C:C),"")</f>
        <v/>
      </c>
      <c r="H29">
        <f t="shared" si="0"/>
        <v>0</v>
      </c>
      <c r="I29">
        <f t="shared" si="1"/>
        <v>1</v>
      </c>
      <c r="J29">
        <f t="shared" si="2"/>
        <v>1900</v>
      </c>
    </row>
    <row r="30" spans="3:10" x14ac:dyDescent="0.35">
      <c r="C30" t="str">
        <f ca="1">IFERROR(_xludf.XLOOKUP(B30,'Task Master'!A:A,'Task Master'!C:C),"")</f>
        <v/>
      </c>
      <c r="H30">
        <f t="shared" si="0"/>
        <v>0</v>
      </c>
      <c r="I30">
        <f t="shared" si="1"/>
        <v>1</v>
      </c>
      <c r="J30">
        <f t="shared" si="2"/>
        <v>1900</v>
      </c>
    </row>
    <row r="31" spans="3:10" x14ac:dyDescent="0.35">
      <c r="C31" t="str">
        <f ca="1">IFERROR(_xludf.XLOOKUP(B31,'Task Master'!A:A,'Task Master'!C:C),"")</f>
        <v/>
      </c>
      <c r="H31">
        <f t="shared" si="0"/>
        <v>0</v>
      </c>
      <c r="I31">
        <f t="shared" si="1"/>
        <v>1</v>
      </c>
      <c r="J31">
        <f t="shared" si="2"/>
        <v>1900</v>
      </c>
    </row>
    <row r="32" spans="3:10" x14ac:dyDescent="0.35">
      <c r="C32" t="str">
        <f ca="1">IFERROR(_xludf.XLOOKUP(B32,'Task Master'!A:A,'Task Master'!C:C),"")</f>
        <v/>
      </c>
      <c r="H32">
        <f t="shared" si="0"/>
        <v>0</v>
      </c>
      <c r="I32">
        <f t="shared" si="1"/>
        <v>1</v>
      </c>
      <c r="J32">
        <f t="shared" si="2"/>
        <v>1900</v>
      </c>
    </row>
    <row r="33" spans="3:10" x14ac:dyDescent="0.35">
      <c r="C33" t="str">
        <f ca="1">IFERROR(_xludf.XLOOKUP(B33,'Task Master'!A:A,'Task Master'!C:C),"")</f>
        <v/>
      </c>
      <c r="H33">
        <f t="shared" si="0"/>
        <v>0</v>
      </c>
      <c r="I33">
        <f t="shared" si="1"/>
        <v>1</v>
      </c>
      <c r="J33">
        <f t="shared" si="2"/>
        <v>1900</v>
      </c>
    </row>
    <row r="34" spans="3:10" x14ac:dyDescent="0.35">
      <c r="C34" t="str">
        <f ca="1">IFERROR(_xludf.XLOOKUP(B34,'Task Master'!A:A,'Task Master'!C:C),"")</f>
        <v/>
      </c>
      <c r="H34">
        <f t="shared" ref="H34:H65" si="3">WEEKNUM(A34)</f>
        <v>0</v>
      </c>
      <c r="I34">
        <f t="shared" ref="I34:I65" si="4">MONTH(A34)</f>
        <v>1</v>
      </c>
      <c r="J34">
        <f t="shared" ref="J34:J65" si="5">YEAR(A34)</f>
        <v>1900</v>
      </c>
    </row>
    <row r="35" spans="3:10" x14ac:dyDescent="0.35">
      <c r="C35" t="str">
        <f ca="1">IFERROR(_xludf.XLOOKUP(B35,'Task Master'!A:A,'Task Master'!C:C),"")</f>
        <v/>
      </c>
      <c r="H35">
        <f t="shared" si="3"/>
        <v>0</v>
      </c>
      <c r="I35">
        <f t="shared" si="4"/>
        <v>1</v>
      </c>
      <c r="J35">
        <f t="shared" si="5"/>
        <v>1900</v>
      </c>
    </row>
    <row r="36" spans="3:10" x14ac:dyDescent="0.35">
      <c r="C36" t="str">
        <f ca="1">IFERROR(_xludf.XLOOKUP(B36,'Task Master'!A:A,'Task Master'!C:C),"")</f>
        <v/>
      </c>
      <c r="H36">
        <f t="shared" si="3"/>
        <v>0</v>
      </c>
      <c r="I36">
        <f t="shared" si="4"/>
        <v>1</v>
      </c>
      <c r="J36">
        <f t="shared" si="5"/>
        <v>1900</v>
      </c>
    </row>
    <row r="37" spans="3:10" x14ac:dyDescent="0.35">
      <c r="C37" t="str">
        <f ca="1">IFERROR(_xludf.XLOOKUP(B37,'Task Master'!A:A,'Task Master'!C:C),"")</f>
        <v/>
      </c>
      <c r="H37">
        <f t="shared" si="3"/>
        <v>0</v>
      </c>
      <c r="I37">
        <f t="shared" si="4"/>
        <v>1</v>
      </c>
      <c r="J37">
        <f t="shared" si="5"/>
        <v>1900</v>
      </c>
    </row>
    <row r="38" spans="3:10" x14ac:dyDescent="0.35">
      <c r="C38" t="str">
        <f ca="1">IFERROR(_xludf.XLOOKUP(B38,'Task Master'!A:A,'Task Master'!C:C),"")</f>
        <v/>
      </c>
      <c r="H38">
        <f t="shared" si="3"/>
        <v>0</v>
      </c>
      <c r="I38">
        <f t="shared" si="4"/>
        <v>1</v>
      </c>
      <c r="J38">
        <f t="shared" si="5"/>
        <v>1900</v>
      </c>
    </row>
    <row r="39" spans="3:10" x14ac:dyDescent="0.35">
      <c r="C39" t="str">
        <f ca="1">IFERROR(_xludf.XLOOKUP(B39,'Task Master'!A:A,'Task Master'!C:C),"")</f>
        <v/>
      </c>
      <c r="H39">
        <f t="shared" si="3"/>
        <v>0</v>
      </c>
      <c r="I39">
        <f t="shared" si="4"/>
        <v>1</v>
      </c>
      <c r="J39">
        <f t="shared" si="5"/>
        <v>1900</v>
      </c>
    </row>
    <row r="40" spans="3:10" x14ac:dyDescent="0.35">
      <c r="C40" t="str">
        <f ca="1">IFERROR(_xludf.XLOOKUP(B40,'Task Master'!A:A,'Task Master'!C:C),"")</f>
        <v/>
      </c>
      <c r="H40">
        <f t="shared" si="3"/>
        <v>0</v>
      </c>
      <c r="I40">
        <f t="shared" si="4"/>
        <v>1</v>
      </c>
      <c r="J40">
        <f t="shared" si="5"/>
        <v>1900</v>
      </c>
    </row>
    <row r="41" spans="3:10" x14ac:dyDescent="0.35">
      <c r="C41" t="str">
        <f ca="1">IFERROR(_xludf.XLOOKUP(B41,'Task Master'!A:A,'Task Master'!C:C),"")</f>
        <v/>
      </c>
      <c r="H41">
        <f t="shared" si="3"/>
        <v>0</v>
      </c>
      <c r="I41">
        <f t="shared" si="4"/>
        <v>1</v>
      </c>
      <c r="J41">
        <f t="shared" si="5"/>
        <v>1900</v>
      </c>
    </row>
    <row r="42" spans="3:10" x14ac:dyDescent="0.35">
      <c r="C42" t="str">
        <f ca="1">IFERROR(_xludf.XLOOKUP(B42,'Task Master'!A:A,'Task Master'!C:C),"")</f>
        <v/>
      </c>
      <c r="H42">
        <f t="shared" si="3"/>
        <v>0</v>
      </c>
      <c r="I42">
        <f t="shared" si="4"/>
        <v>1</v>
      </c>
      <c r="J42">
        <f t="shared" si="5"/>
        <v>1900</v>
      </c>
    </row>
    <row r="43" spans="3:10" x14ac:dyDescent="0.35">
      <c r="C43" t="str">
        <f ca="1">IFERROR(_xludf.XLOOKUP(B43,'Task Master'!A:A,'Task Master'!C:C),"")</f>
        <v/>
      </c>
      <c r="H43">
        <f t="shared" si="3"/>
        <v>0</v>
      </c>
      <c r="I43">
        <f t="shared" si="4"/>
        <v>1</v>
      </c>
      <c r="J43">
        <f t="shared" si="5"/>
        <v>1900</v>
      </c>
    </row>
    <row r="44" spans="3:10" x14ac:dyDescent="0.35">
      <c r="C44" t="str">
        <f ca="1">IFERROR(_xludf.XLOOKUP(B44,'Task Master'!A:A,'Task Master'!C:C),"")</f>
        <v/>
      </c>
      <c r="H44">
        <f t="shared" si="3"/>
        <v>0</v>
      </c>
      <c r="I44">
        <f t="shared" si="4"/>
        <v>1</v>
      </c>
      <c r="J44">
        <f t="shared" si="5"/>
        <v>1900</v>
      </c>
    </row>
    <row r="45" spans="3:10" x14ac:dyDescent="0.35">
      <c r="C45" t="str">
        <f ca="1">IFERROR(_xludf.XLOOKUP(B45,'Task Master'!A:A,'Task Master'!C:C),"")</f>
        <v/>
      </c>
      <c r="H45">
        <f t="shared" si="3"/>
        <v>0</v>
      </c>
      <c r="I45">
        <f t="shared" si="4"/>
        <v>1</v>
      </c>
      <c r="J45">
        <f t="shared" si="5"/>
        <v>1900</v>
      </c>
    </row>
    <row r="46" spans="3:10" x14ac:dyDescent="0.35">
      <c r="C46" t="str">
        <f ca="1">IFERROR(_xludf.XLOOKUP(B46,'Task Master'!A:A,'Task Master'!C:C),"")</f>
        <v/>
      </c>
      <c r="H46">
        <f t="shared" si="3"/>
        <v>0</v>
      </c>
      <c r="I46">
        <f t="shared" si="4"/>
        <v>1</v>
      </c>
      <c r="J46">
        <f t="shared" si="5"/>
        <v>1900</v>
      </c>
    </row>
    <row r="47" spans="3:10" x14ac:dyDescent="0.35">
      <c r="C47" t="str">
        <f ca="1">IFERROR(_xludf.XLOOKUP(B47,'Task Master'!A:A,'Task Master'!C:C),"")</f>
        <v/>
      </c>
      <c r="H47">
        <f t="shared" si="3"/>
        <v>0</v>
      </c>
      <c r="I47">
        <f t="shared" si="4"/>
        <v>1</v>
      </c>
      <c r="J47">
        <f t="shared" si="5"/>
        <v>1900</v>
      </c>
    </row>
    <row r="48" spans="3:10" x14ac:dyDescent="0.35">
      <c r="C48" t="str">
        <f ca="1">IFERROR(_xludf.XLOOKUP(B48,'Task Master'!A:A,'Task Master'!C:C),"")</f>
        <v/>
      </c>
      <c r="H48">
        <f t="shared" si="3"/>
        <v>0</v>
      </c>
      <c r="I48">
        <f t="shared" si="4"/>
        <v>1</v>
      </c>
      <c r="J48">
        <f t="shared" si="5"/>
        <v>1900</v>
      </c>
    </row>
    <row r="49" spans="3:10" x14ac:dyDescent="0.35">
      <c r="C49" t="str">
        <f ca="1">IFERROR(_xludf.XLOOKUP(B49,'Task Master'!A:A,'Task Master'!C:C),"")</f>
        <v/>
      </c>
      <c r="H49">
        <f t="shared" si="3"/>
        <v>0</v>
      </c>
      <c r="I49">
        <f t="shared" si="4"/>
        <v>1</v>
      </c>
      <c r="J49">
        <f t="shared" si="5"/>
        <v>1900</v>
      </c>
    </row>
    <row r="50" spans="3:10" x14ac:dyDescent="0.35">
      <c r="C50" t="str">
        <f ca="1">IFERROR(_xludf.XLOOKUP(B50,'Task Master'!A:A,'Task Master'!C:C),"")</f>
        <v/>
      </c>
      <c r="H50">
        <f t="shared" si="3"/>
        <v>0</v>
      </c>
      <c r="I50">
        <f t="shared" si="4"/>
        <v>1</v>
      </c>
      <c r="J50">
        <f t="shared" si="5"/>
        <v>1900</v>
      </c>
    </row>
    <row r="51" spans="3:10" x14ac:dyDescent="0.35">
      <c r="C51" t="str">
        <f ca="1">IFERROR(_xludf.XLOOKUP(B51,'Task Master'!A:A,'Task Master'!C:C),"")</f>
        <v/>
      </c>
      <c r="H51">
        <f t="shared" si="3"/>
        <v>0</v>
      </c>
      <c r="I51">
        <f t="shared" si="4"/>
        <v>1</v>
      </c>
      <c r="J51">
        <f t="shared" si="5"/>
        <v>1900</v>
      </c>
    </row>
    <row r="52" spans="3:10" x14ac:dyDescent="0.35">
      <c r="C52" t="str">
        <f ca="1">IFERROR(_xludf.XLOOKUP(B52,'Task Master'!A:A,'Task Master'!C:C),"")</f>
        <v/>
      </c>
      <c r="H52">
        <f t="shared" si="3"/>
        <v>0</v>
      </c>
      <c r="I52">
        <f t="shared" si="4"/>
        <v>1</v>
      </c>
      <c r="J52">
        <f t="shared" si="5"/>
        <v>1900</v>
      </c>
    </row>
    <row r="53" spans="3:10" x14ac:dyDescent="0.35">
      <c r="C53" t="str">
        <f ca="1">IFERROR(_xludf.XLOOKUP(B53,'Task Master'!A:A,'Task Master'!C:C),"")</f>
        <v/>
      </c>
      <c r="H53">
        <f t="shared" si="3"/>
        <v>0</v>
      </c>
      <c r="I53">
        <f t="shared" si="4"/>
        <v>1</v>
      </c>
      <c r="J53">
        <f t="shared" si="5"/>
        <v>1900</v>
      </c>
    </row>
    <row r="54" spans="3:10" x14ac:dyDescent="0.35">
      <c r="C54" t="str">
        <f ca="1">IFERROR(_xludf.XLOOKUP(B54,'Task Master'!A:A,'Task Master'!C:C),"")</f>
        <v/>
      </c>
      <c r="H54">
        <f t="shared" si="3"/>
        <v>0</v>
      </c>
      <c r="I54">
        <f t="shared" si="4"/>
        <v>1</v>
      </c>
      <c r="J54">
        <f t="shared" si="5"/>
        <v>1900</v>
      </c>
    </row>
    <row r="55" spans="3:10" x14ac:dyDescent="0.35">
      <c r="C55" t="str">
        <f ca="1">IFERROR(_xludf.XLOOKUP(B55,'Task Master'!A:A,'Task Master'!C:C),"")</f>
        <v/>
      </c>
      <c r="H55">
        <f t="shared" si="3"/>
        <v>0</v>
      </c>
      <c r="I55">
        <f t="shared" si="4"/>
        <v>1</v>
      </c>
      <c r="J55">
        <f t="shared" si="5"/>
        <v>1900</v>
      </c>
    </row>
    <row r="56" spans="3:10" x14ac:dyDescent="0.35">
      <c r="C56" t="str">
        <f ca="1">IFERROR(_xludf.XLOOKUP(B56,'Task Master'!A:A,'Task Master'!C:C),"")</f>
        <v/>
      </c>
      <c r="H56">
        <f t="shared" si="3"/>
        <v>0</v>
      </c>
      <c r="I56">
        <f t="shared" si="4"/>
        <v>1</v>
      </c>
      <c r="J56">
        <f t="shared" si="5"/>
        <v>1900</v>
      </c>
    </row>
    <row r="57" spans="3:10" x14ac:dyDescent="0.35">
      <c r="C57" t="str">
        <f ca="1">IFERROR(_xludf.XLOOKUP(B57,'Task Master'!A:A,'Task Master'!C:C),"")</f>
        <v/>
      </c>
      <c r="H57">
        <f t="shared" si="3"/>
        <v>0</v>
      </c>
      <c r="I57">
        <f t="shared" si="4"/>
        <v>1</v>
      </c>
      <c r="J57">
        <f t="shared" si="5"/>
        <v>1900</v>
      </c>
    </row>
    <row r="58" spans="3:10" x14ac:dyDescent="0.35">
      <c r="C58" t="str">
        <f ca="1">IFERROR(_xludf.XLOOKUP(B58,'Task Master'!A:A,'Task Master'!C:C),"")</f>
        <v/>
      </c>
      <c r="H58">
        <f t="shared" si="3"/>
        <v>0</v>
      </c>
      <c r="I58">
        <f t="shared" si="4"/>
        <v>1</v>
      </c>
      <c r="J58">
        <f t="shared" si="5"/>
        <v>1900</v>
      </c>
    </row>
    <row r="59" spans="3:10" x14ac:dyDescent="0.35">
      <c r="C59" t="str">
        <f ca="1">IFERROR(_xludf.XLOOKUP(B59,'Task Master'!A:A,'Task Master'!C:C),"")</f>
        <v/>
      </c>
      <c r="H59">
        <f t="shared" si="3"/>
        <v>0</v>
      </c>
      <c r="I59">
        <f t="shared" si="4"/>
        <v>1</v>
      </c>
      <c r="J59">
        <f t="shared" si="5"/>
        <v>1900</v>
      </c>
    </row>
    <row r="60" spans="3:10" x14ac:dyDescent="0.35">
      <c r="C60" t="str">
        <f ca="1">IFERROR(_xludf.XLOOKUP(B60,'Task Master'!A:A,'Task Master'!C:C),"")</f>
        <v/>
      </c>
      <c r="H60">
        <f t="shared" si="3"/>
        <v>0</v>
      </c>
      <c r="I60">
        <f t="shared" si="4"/>
        <v>1</v>
      </c>
      <c r="J60">
        <f t="shared" si="5"/>
        <v>1900</v>
      </c>
    </row>
    <row r="61" spans="3:10" x14ac:dyDescent="0.35">
      <c r="C61" t="str">
        <f ca="1">IFERROR(_xludf.XLOOKUP(B61,'Task Master'!A:A,'Task Master'!C:C),"")</f>
        <v/>
      </c>
      <c r="H61">
        <f t="shared" si="3"/>
        <v>0</v>
      </c>
      <c r="I61">
        <f t="shared" si="4"/>
        <v>1</v>
      </c>
      <c r="J61">
        <f t="shared" si="5"/>
        <v>1900</v>
      </c>
    </row>
    <row r="62" spans="3:10" x14ac:dyDescent="0.35">
      <c r="C62" t="str">
        <f ca="1">IFERROR(_xludf.XLOOKUP(B62,'Task Master'!A:A,'Task Master'!C:C),"")</f>
        <v/>
      </c>
      <c r="H62">
        <f t="shared" si="3"/>
        <v>0</v>
      </c>
      <c r="I62">
        <f t="shared" si="4"/>
        <v>1</v>
      </c>
      <c r="J62">
        <f t="shared" si="5"/>
        <v>1900</v>
      </c>
    </row>
    <row r="63" spans="3:10" x14ac:dyDescent="0.35">
      <c r="C63" t="str">
        <f ca="1">IFERROR(_xludf.XLOOKUP(B63,'Task Master'!A:A,'Task Master'!C:C),"")</f>
        <v/>
      </c>
      <c r="H63">
        <f t="shared" si="3"/>
        <v>0</v>
      </c>
      <c r="I63">
        <f t="shared" si="4"/>
        <v>1</v>
      </c>
      <c r="J63">
        <f t="shared" si="5"/>
        <v>1900</v>
      </c>
    </row>
    <row r="64" spans="3:10" x14ac:dyDescent="0.35">
      <c r="C64" t="str">
        <f ca="1">IFERROR(_xludf.XLOOKUP(B64,'Task Master'!A:A,'Task Master'!C:C),"")</f>
        <v/>
      </c>
      <c r="H64">
        <f t="shared" si="3"/>
        <v>0</v>
      </c>
      <c r="I64">
        <f t="shared" si="4"/>
        <v>1</v>
      </c>
      <c r="J64">
        <f t="shared" si="5"/>
        <v>1900</v>
      </c>
    </row>
    <row r="65" spans="3:10" x14ac:dyDescent="0.35">
      <c r="C65" t="str">
        <f ca="1">IFERROR(_xludf.XLOOKUP(B65,'Task Master'!A:A,'Task Master'!C:C),"")</f>
        <v/>
      </c>
      <c r="H65">
        <f t="shared" si="3"/>
        <v>0</v>
      </c>
      <c r="I65">
        <f t="shared" si="4"/>
        <v>1</v>
      </c>
      <c r="J65">
        <f t="shared" si="5"/>
        <v>1900</v>
      </c>
    </row>
    <row r="66" spans="3:10" x14ac:dyDescent="0.35">
      <c r="C66" t="str">
        <f ca="1">IFERROR(_xludf.XLOOKUP(B66,'Task Master'!A:A,'Task Master'!C:C),"")</f>
        <v/>
      </c>
      <c r="H66">
        <f t="shared" ref="H66:H97" si="6">WEEKNUM(A66)</f>
        <v>0</v>
      </c>
      <c r="I66">
        <f t="shared" ref="I66:I97" si="7">MONTH(A66)</f>
        <v>1</v>
      </c>
      <c r="J66">
        <f t="shared" ref="J66:J97" si="8">YEAR(A66)</f>
        <v>1900</v>
      </c>
    </row>
    <row r="67" spans="3:10" x14ac:dyDescent="0.35">
      <c r="C67" t="str">
        <f ca="1">IFERROR(_xludf.XLOOKUP(B67,'Task Master'!A:A,'Task Master'!C:C),"")</f>
        <v/>
      </c>
      <c r="H67">
        <f t="shared" si="6"/>
        <v>0</v>
      </c>
      <c r="I67">
        <f t="shared" si="7"/>
        <v>1</v>
      </c>
      <c r="J67">
        <f t="shared" si="8"/>
        <v>1900</v>
      </c>
    </row>
    <row r="68" spans="3:10" x14ac:dyDescent="0.35">
      <c r="C68" t="str">
        <f ca="1">IFERROR(_xludf.XLOOKUP(B68,'Task Master'!A:A,'Task Master'!C:C),"")</f>
        <v/>
      </c>
      <c r="H68">
        <f t="shared" si="6"/>
        <v>0</v>
      </c>
      <c r="I68">
        <f t="shared" si="7"/>
        <v>1</v>
      </c>
      <c r="J68">
        <f t="shared" si="8"/>
        <v>1900</v>
      </c>
    </row>
    <row r="69" spans="3:10" x14ac:dyDescent="0.35">
      <c r="C69" t="str">
        <f ca="1">IFERROR(_xludf.XLOOKUP(B69,'Task Master'!A:A,'Task Master'!C:C),"")</f>
        <v/>
      </c>
      <c r="H69">
        <f t="shared" si="6"/>
        <v>0</v>
      </c>
      <c r="I69">
        <f t="shared" si="7"/>
        <v>1</v>
      </c>
      <c r="J69">
        <f t="shared" si="8"/>
        <v>1900</v>
      </c>
    </row>
    <row r="70" spans="3:10" x14ac:dyDescent="0.35">
      <c r="C70" t="str">
        <f ca="1">IFERROR(_xludf.XLOOKUP(B70,'Task Master'!A:A,'Task Master'!C:C),"")</f>
        <v/>
      </c>
      <c r="H70">
        <f t="shared" si="6"/>
        <v>0</v>
      </c>
      <c r="I70">
        <f t="shared" si="7"/>
        <v>1</v>
      </c>
      <c r="J70">
        <f t="shared" si="8"/>
        <v>1900</v>
      </c>
    </row>
    <row r="71" spans="3:10" x14ac:dyDescent="0.35">
      <c r="C71" t="str">
        <f ca="1">IFERROR(_xludf.XLOOKUP(B71,'Task Master'!A:A,'Task Master'!C:C),"")</f>
        <v/>
      </c>
      <c r="H71">
        <f t="shared" si="6"/>
        <v>0</v>
      </c>
      <c r="I71">
        <f t="shared" si="7"/>
        <v>1</v>
      </c>
      <c r="J71">
        <f t="shared" si="8"/>
        <v>1900</v>
      </c>
    </row>
    <row r="72" spans="3:10" x14ac:dyDescent="0.35">
      <c r="C72" t="str">
        <f ca="1">IFERROR(_xludf.XLOOKUP(B72,'Task Master'!A:A,'Task Master'!C:C),"")</f>
        <v/>
      </c>
      <c r="H72">
        <f t="shared" si="6"/>
        <v>0</v>
      </c>
      <c r="I72">
        <f t="shared" si="7"/>
        <v>1</v>
      </c>
      <c r="J72">
        <f t="shared" si="8"/>
        <v>1900</v>
      </c>
    </row>
    <row r="73" spans="3:10" x14ac:dyDescent="0.35">
      <c r="C73" t="str">
        <f ca="1">IFERROR(_xludf.XLOOKUP(B73,'Task Master'!A:A,'Task Master'!C:C),"")</f>
        <v/>
      </c>
      <c r="H73">
        <f t="shared" si="6"/>
        <v>0</v>
      </c>
      <c r="I73">
        <f t="shared" si="7"/>
        <v>1</v>
      </c>
      <c r="J73">
        <f t="shared" si="8"/>
        <v>1900</v>
      </c>
    </row>
    <row r="74" spans="3:10" x14ac:dyDescent="0.35">
      <c r="C74" t="str">
        <f ca="1">IFERROR(_xludf.XLOOKUP(B74,'Task Master'!A:A,'Task Master'!C:C),"")</f>
        <v/>
      </c>
      <c r="H74">
        <f t="shared" si="6"/>
        <v>0</v>
      </c>
      <c r="I74">
        <f t="shared" si="7"/>
        <v>1</v>
      </c>
      <c r="J74">
        <f t="shared" si="8"/>
        <v>1900</v>
      </c>
    </row>
    <row r="75" spans="3:10" x14ac:dyDescent="0.35">
      <c r="C75" t="str">
        <f ca="1">IFERROR(_xludf.XLOOKUP(B75,'Task Master'!A:A,'Task Master'!C:C),"")</f>
        <v/>
      </c>
      <c r="H75">
        <f t="shared" si="6"/>
        <v>0</v>
      </c>
      <c r="I75">
        <f t="shared" si="7"/>
        <v>1</v>
      </c>
      <c r="J75">
        <f t="shared" si="8"/>
        <v>1900</v>
      </c>
    </row>
    <row r="76" spans="3:10" x14ac:dyDescent="0.35">
      <c r="C76" t="str">
        <f ca="1">IFERROR(_xludf.XLOOKUP(B76,'Task Master'!A:A,'Task Master'!C:C),"")</f>
        <v/>
      </c>
      <c r="H76">
        <f t="shared" si="6"/>
        <v>0</v>
      </c>
      <c r="I76">
        <f t="shared" si="7"/>
        <v>1</v>
      </c>
      <c r="J76">
        <f t="shared" si="8"/>
        <v>1900</v>
      </c>
    </row>
    <row r="77" spans="3:10" x14ac:dyDescent="0.35">
      <c r="C77" t="str">
        <f ca="1">IFERROR(_xludf.XLOOKUP(B77,'Task Master'!A:A,'Task Master'!C:C),"")</f>
        <v/>
      </c>
      <c r="H77">
        <f t="shared" si="6"/>
        <v>0</v>
      </c>
      <c r="I77">
        <f t="shared" si="7"/>
        <v>1</v>
      </c>
      <c r="J77">
        <f t="shared" si="8"/>
        <v>1900</v>
      </c>
    </row>
    <row r="78" spans="3:10" x14ac:dyDescent="0.35">
      <c r="C78" t="str">
        <f ca="1">IFERROR(_xludf.XLOOKUP(B78,'Task Master'!A:A,'Task Master'!C:C),"")</f>
        <v/>
      </c>
      <c r="H78">
        <f t="shared" si="6"/>
        <v>0</v>
      </c>
      <c r="I78">
        <f t="shared" si="7"/>
        <v>1</v>
      </c>
      <c r="J78">
        <f t="shared" si="8"/>
        <v>1900</v>
      </c>
    </row>
    <row r="79" spans="3:10" x14ac:dyDescent="0.35">
      <c r="C79" t="str">
        <f ca="1">IFERROR(_xludf.XLOOKUP(B79,'Task Master'!A:A,'Task Master'!C:C),"")</f>
        <v/>
      </c>
      <c r="H79">
        <f t="shared" si="6"/>
        <v>0</v>
      </c>
      <c r="I79">
        <f t="shared" si="7"/>
        <v>1</v>
      </c>
      <c r="J79">
        <f t="shared" si="8"/>
        <v>1900</v>
      </c>
    </row>
    <row r="80" spans="3:10" x14ac:dyDescent="0.35">
      <c r="C80" t="str">
        <f ca="1">IFERROR(_xludf.XLOOKUP(B80,'Task Master'!A:A,'Task Master'!C:C),"")</f>
        <v/>
      </c>
      <c r="H80">
        <f t="shared" si="6"/>
        <v>0</v>
      </c>
      <c r="I80">
        <f t="shared" si="7"/>
        <v>1</v>
      </c>
      <c r="J80">
        <f t="shared" si="8"/>
        <v>1900</v>
      </c>
    </row>
    <row r="81" spans="3:10" x14ac:dyDescent="0.35">
      <c r="C81" t="str">
        <f ca="1">IFERROR(_xludf.XLOOKUP(B81,'Task Master'!A:A,'Task Master'!C:C),"")</f>
        <v/>
      </c>
      <c r="H81">
        <f t="shared" si="6"/>
        <v>0</v>
      </c>
      <c r="I81">
        <f t="shared" si="7"/>
        <v>1</v>
      </c>
      <c r="J81">
        <f t="shared" si="8"/>
        <v>1900</v>
      </c>
    </row>
    <row r="82" spans="3:10" x14ac:dyDescent="0.35">
      <c r="C82" t="str">
        <f ca="1">IFERROR(_xludf.XLOOKUP(B82,'Task Master'!A:A,'Task Master'!C:C),"")</f>
        <v/>
      </c>
      <c r="H82">
        <f t="shared" si="6"/>
        <v>0</v>
      </c>
      <c r="I82">
        <f t="shared" si="7"/>
        <v>1</v>
      </c>
      <c r="J82">
        <f t="shared" si="8"/>
        <v>1900</v>
      </c>
    </row>
    <row r="83" spans="3:10" x14ac:dyDescent="0.35">
      <c r="C83" t="str">
        <f ca="1">IFERROR(_xludf.XLOOKUP(B83,'Task Master'!A:A,'Task Master'!C:C),"")</f>
        <v/>
      </c>
      <c r="H83">
        <f t="shared" si="6"/>
        <v>0</v>
      </c>
      <c r="I83">
        <f t="shared" si="7"/>
        <v>1</v>
      </c>
      <c r="J83">
        <f t="shared" si="8"/>
        <v>1900</v>
      </c>
    </row>
    <row r="84" spans="3:10" x14ac:dyDescent="0.35">
      <c r="C84" t="str">
        <f ca="1">IFERROR(_xludf.XLOOKUP(B84,'Task Master'!A:A,'Task Master'!C:C),"")</f>
        <v/>
      </c>
      <c r="H84">
        <f t="shared" si="6"/>
        <v>0</v>
      </c>
      <c r="I84">
        <f t="shared" si="7"/>
        <v>1</v>
      </c>
      <c r="J84">
        <f t="shared" si="8"/>
        <v>1900</v>
      </c>
    </row>
    <row r="85" spans="3:10" x14ac:dyDescent="0.35">
      <c r="C85" t="str">
        <f ca="1">IFERROR(_xludf.XLOOKUP(B85,'Task Master'!A:A,'Task Master'!C:C),"")</f>
        <v/>
      </c>
      <c r="H85">
        <f t="shared" si="6"/>
        <v>0</v>
      </c>
      <c r="I85">
        <f t="shared" si="7"/>
        <v>1</v>
      </c>
      <c r="J85">
        <f t="shared" si="8"/>
        <v>1900</v>
      </c>
    </row>
    <row r="86" spans="3:10" x14ac:dyDescent="0.35">
      <c r="C86" t="str">
        <f ca="1">IFERROR(_xludf.XLOOKUP(B86,'Task Master'!A:A,'Task Master'!C:C),"")</f>
        <v/>
      </c>
      <c r="H86">
        <f t="shared" si="6"/>
        <v>0</v>
      </c>
      <c r="I86">
        <f t="shared" si="7"/>
        <v>1</v>
      </c>
      <c r="J86">
        <f t="shared" si="8"/>
        <v>1900</v>
      </c>
    </row>
    <row r="87" spans="3:10" x14ac:dyDescent="0.35">
      <c r="C87" t="str">
        <f ca="1">IFERROR(_xludf.XLOOKUP(B87,'Task Master'!A:A,'Task Master'!C:C),"")</f>
        <v/>
      </c>
      <c r="H87">
        <f t="shared" si="6"/>
        <v>0</v>
      </c>
      <c r="I87">
        <f t="shared" si="7"/>
        <v>1</v>
      </c>
      <c r="J87">
        <f t="shared" si="8"/>
        <v>1900</v>
      </c>
    </row>
    <row r="88" spans="3:10" x14ac:dyDescent="0.35">
      <c r="C88" t="str">
        <f ca="1">IFERROR(_xludf.XLOOKUP(B88,'Task Master'!A:A,'Task Master'!C:C),"")</f>
        <v/>
      </c>
      <c r="H88">
        <f t="shared" si="6"/>
        <v>0</v>
      </c>
      <c r="I88">
        <f t="shared" si="7"/>
        <v>1</v>
      </c>
      <c r="J88">
        <f t="shared" si="8"/>
        <v>1900</v>
      </c>
    </row>
    <row r="89" spans="3:10" x14ac:dyDescent="0.35">
      <c r="C89" t="str">
        <f ca="1">IFERROR(_xludf.XLOOKUP(B89,'Task Master'!A:A,'Task Master'!C:C),"")</f>
        <v/>
      </c>
      <c r="H89">
        <f t="shared" si="6"/>
        <v>0</v>
      </c>
      <c r="I89">
        <f t="shared" si="7"/>
        <v>1</v>
      </c>
      <c r="J89">
        <f t="shared" si="8"/>
        <v>1900</v>
      </c>
    </row>
    <row r="90" spans="3:10" x14ac:dyDescent="0.35">
      <c r="C90" t="str">
        <f ca="1">IFERROR(_xludf.XLOOKUP(B90,'Task Master'!A:A,'Task Master'!C:C),"")</f>
        <v/>
      </c>
      <c r="H90">
        <f t="shared" si="6"/>
        <v>0</v>
      </c>
      <c r="I90">
        <f t="shared" si="7"/>
        <v>1</v>
      </c>
      <c r="J90">
        <f t="shared" si="8"/>
        <v>1900</v>
      </c>
    </row>
    <row r="91" spans="3:10" x14ac:dyDescent="0.35">
      <c r="C91" t="str">
        <f ca="1">IFERROR(_xludf.XLOOKUP(B91,'Task Master'!A:A,'Task Master'!C:C),"")</f>
        <v/>
      </c>
      <c r="H91">
        <f t="shared" si="6"/>
        <v>0</v>
      </c>
      <c r="I91">
        <f t="shared" si="7"/>
        <v>1</v>
      </c>
      <c r="J91">
        <f t="shared" si="8"/>
        <v>1900</v>
      </c>
    </row>
    <row r="92" spans="3:10" x14ac:dyDescent="0.35">
      <c r="C92" t="str">
        <f ca="1">IFERROR(_xludf.XLOOKUP(B92,'Task Master'!A:A,'Task Master'!C:C),"")</f>
        <v/>
      </c>
      <c r="H92">
        <f t="shared" si="6"/>
        <v>0</v>
      </c>
      <c r="I92">
        <f t="shared" si="7"/>
        <v>1</v>
      </c>
      <c r="J92">
        <f t="shared" si="8"/>
        <v>1900</v>
      </c>
    </row>
    <row r="93" spans="3:10" x14ac:dyDescent="0.35">
      <c r="C93" t="str">
        <f ca="1">IFERROR(_xludf.XLOOKUP(B93,'Task Master'!A:A,'Task Master'!C:C),"")</f>
        <v/>
      </c>
      <c r="H93">
        <f t="shared" si="6"/>
        <v>0</v>
      </c>
      <c r="I93">
        <f t="shared" si="7"/>
        <v>1</v>
      </c>
      <c r="J93">
        <f t="shared" si="8"/>
        <v>1900</v>
      </c>
    </row>
    <row r="94" spans="3:10" x14ac:dyDescent="0.35">
      <c r="C94" t="str">
        <f ca="1">IFERROR(_xludf.XLOOKUP(B94,'Task Master'!A:A,'Task Master'!C:C),"")</f>
        <v/>
      </c>
      <c r="H94">
        <f t="shared" si="6"/>
        <v>0</v>
      </c>
      <c r="I94">
        <f t="shared" si="7"/>
        <v>1</v>
      </c>
      <c r="J94">
        <f t="shared" si="8"/>
        <v>1900</v>
      </c>
    </row>
    <row r="95" spans="3:10" x14ac:dyDescent="0.35">
      <c r="C95" t="str">
        <f ca="1">IFERROR(_xludf.XLOOKUP(B95,'Task Master'!A:A,'Task Master'!C:C),"")</f>
        <v/>
      </c>
      <c r="H95">
        <f t="shared" si="6"/>
        <v>0</v>
      </c>
      <c r="I95">
        <f t="shared" si="7"/>
        <v>1</v>
      </c>
      <c r="J95">
        <f t="shared" si="8"/>
        <v>1900</v>
      </c>
    </row>
    <row r="96" spans="3:10" x14ac:dyDescent="0.35">
      <c r="C96" t="str">
        <f ca="1">IFERROR(_xludf.XLOOKUP(B96,'Task Master'!A:A,'Task Master'!C:C),"")</f>
        <v/>
      </c>
      <c r="H96">
        <f t="shared" si="6"/>
        <v>0</v>
      </c>
      <c r="I96">
        <f t="shared" si="7"/>
        <v>1</v>
      </c>
      <c r="J96">
        <f t="shared" si="8"/>
        <v>1900</v>
      </c>
    </row>
    <row r="97" spans="3:10" x14ac:dyDescent="0.35">
      <c r="C97" t="str">
        <f ca="1">IFERROR(_xludf.XLOOKUP(B97,'Task Master'!A:A,'Task Master'!C:C),"")</f>
        <v/>
      </c>
      <c r="H97">
        <f t="shared" si="6"/>
        <v>0</v>
      </c>
      <c r="I97">
        <f t="shared" si="7"/>
        <v>1</v>
      </c>
      <c r="J97">
        <f t="shared" si="8"/>
        <v>1900</v>
      </c>
    </row>
    <row r="98" spans="3:10" x14ac:dyDescent="0.35">
      <c r="C98" t="str">
        <f ca="1">IFERROR(_xludf.XLOOKUP(B98,'Task Master'!A:A,'Task Master'!C:C),"")</f>
        <v/>
      </c>
      <c r="H98">
        <f t="shared" ref="H98:H129" si="9">WEEKNUM(A98)</f>
        <v>0</v>
      </c>
      <c r="I98">
        <f t="shared" ref="I98:I129" si="10">MONTH(A98)</f>
        <v>1</v>
      </c>
      <c r="J98">
        <f t="shared" ref="J98:J129" si="11">YEAR(A98)</f>
        <v>1900</v>
      </c>
    </row>
    <row r="99" spans="3:10" x14ac:dyDescent="0.35">
      <c r="C99" t="str">
        <f ca="1">IFERROR(_xludf.XLOOKUP(B99,'Task Master'!A:A,'Task Master'!C:C),"")</f>
        <v/>
      </c>
      <c r="H99">
        <f t="shared" si="9"/>
        <v>0</v>
      </c>
      <c r="I99">
        <f t="shared" si="10"/>
        <v>1</v>
      </c>
      <c r="J99">
        <f t="shared" si="11"/>
        <v>1900</v>
      </c>
    </row>
    <row r="100" spans="3:10" x14ac:dyDescent="0.35">
      <c r="C100" t="str">
        <f ca="1">IFERROR(_xludf.XLOOKUP(B100,'Task Master'!A:A,'Task Master'!C:C),"")</f>
        <v/>
      </c>
      <c r="H100">
        <f t="shared" si="9"/>
        <v>0</v>
      </c>
      <c r="I100">
        <f t="shared" si="10"/>
        <v>1</v>
      </c>
      <c r="J100">
        <f t="shared" si="11"/>
        <v>1900</v>
      </c>
    </row>
    <row r="101" spans="3:10" x14ac:dyDescent="0.35">
      <c r="C101" t="str">
        <f ca="1">IFERROR(_xludf.XLOOKUP(B101,'Task Master'!A:A,'Task Master'!C:C),"")</f>
        <v/>
      </c>
      <c r="H101">
        <f t="shared" si="9"/>
        <v>0</v>
      </c>
      <c r="I101">
        <f t="shared" si="10"/>
        <v>1</v>
      </c>
      <c r="J101">
        <f t="shared" si="11"/>
        <v>1900</v>
      </c>
    </row>
    <row r="102" spans="3:10" x14ac:dyDescent="0.35">
      <c r="C102" t="str">
        <f ca="1">IFERROR(_xludf.XLOOKUP(B102,'Task Master'!A:A,'Task Master'!C:C),"")</f>
        <v/>
      </c>
      <c r="H102">
        <f t="shared" si="9"/>
        <v>0</v>
      </c>
      <c r="I102">
        <f t="shared" si="10"/>
        <v>1</v>
      </c>
      <c r="J102">
        <f t="shared" si="11"/>
        <v>1900</v>
      </c>
    </row>
    <row r="103" spans="3:10" x14ac:dyDescent="0.35">
      <c r="C103" t="str">
        <f ca="1">IFERROR(_xludf.XLOOKUP(B103,'Task Master'!A:A,'Task Master'!C:C),"")</f>
        <v/>
      </c>
      <c r="H103">
        <f t="shared" si="9"/>
        <v>0</v>
      </c>
      <c r="I103">
        <f t="shared" si="10"/>
        <v>1</v>
      </c>
      <c r="J103">
        <f t="shared" si="11"/>
        <v>1900</v>
      </c>
    </row>
    <row r="104" spans="3:10" x14ac:dyDescent="0.35">
      <c r="C104" t="str">
        <f ca="1">IFERROR(_xludf.XLOOKUP(B104,'Task Master'!A:A,'Task Master'!C:C),"")</f>
        <v/>
      </c>
      <c r="H104">
        <f t="shared" si="9"/>
        <v>0</v>
      </c>
      <c r="I104">
        <f t="shared" si="10"/>
        <v>1</v>
      </c>
      <c r="J104">
        <f t="shared" si="11"/>
        <v>1900</v>
      </c>
    </row>
    <row r="105" spans="3:10" x14ac:dyDescent="0.35">
      <c r="C105" t="str">
        <f ca="1">IFERROR(_xludf.XLOOKUP(B105,'Task Master'!A:A,'Task Master'!C:C),"")</f>
        <v/>
      </c>
      <c r="H105">
        <f t="shared" si="9"/>
        <v>0</v>
      </c>
      <c r="I105">
        <f t="shared" si="10"/>
        <v>1</v>
      </c>
      <c r="J105">
        <f t="shared" si="11"/>
        <v>1900</v>
      </c>
    </row>
    <row r="106" spans="3:10" x14ac:dyDescent="0.35">
      <c r="C106" t="str">
        <f ca="1">IFERROR(_xludf.XLOOKUP(B106,'Task Master'!A:A,'Task Master'!C:C),"")</f>
        <v/>
      </c>
      <c r="H106">
        <f t="shared" si="9"/>
        <v>0</v>
      </c>
      <c r="I106">
        <f t="shared" si="10"/>
        <v>1</v>
      </c>
      <c r="J106">
        <f t="shared" si="11"/>
        <v>1900</v>
      </c>
    </row>
    <row r="107" spans="3:10" x14ac:dyDescent="0.35">
      <c r="C107" t="str">
        <f ca="1">IFERROR(_xludf.XLOOKUP(B107,'Task Master'!A:A,'Task Master'!C:C),"")</f>
        <v/>
      </c>
      <c r="H107">
        <f t="shared" si="9"/>
        <v>0</v>
      </c>
      <c r="I107">
        <f t="shared" si="10"/>
        <v>1</v>
      </c>
      <c r="J107">
        <f t="shared" si="11"/>
        <v>1900</v>
      </c>
    </row>
    <row r="108" spans="3:10" x14ac:dyDescent="0.35">
      <c r="C108" t="str">
        <f ca="1">IFERROR(_xludf.XLOOKUP(B108,'Task Master'!A:A,'Task Master'!C:C),"")</f>
        <v/>
      </c>
      <c r="H108">
        <f t="shared" si="9"/>
        <v>0</v>
      </c>
      <c r="I108">
        <f t="shared" si="10"/>
        <v>1</v>
      </c>
      <c r="J108">
        <f t="shared" si="11"/>
        <v>1900</v>
      </c>
    </row>
    <row r="109" spans="3:10" x14ac:dyDescent="0.35">
      <c r="C109" t="str">
        <f ca="1">IFERROR(_xludf.XLOOKUP(B109,'Task Master'!A:A,'Task Master'!C:C),"")</f>
        <v/>
      </c>
      <c r="H109">
        <f t="shared" si="9"/>
        <v>0</v>
      </c>
      <c r="I109">
        <f t="shared" si="10"/>
        <v>1</v>
      </c>
      <c r="J109">
        <f t="shared" si="11"/>
        <v>1900</v>
      </c>
    </row>
    <row r="110" spans="3:10" x14ac:dyDescent="0.35">
      <c r="C110" t="str">
        <f ca="1">IFERROR(_xludf.XLOOKUP(B110,'Task Master'!A:A,'Task Master'!C:C),"")</f>
        <v/>
      </c>
      <c r="H110">
        <f t="shared" si="9"/>
        <v>0</v>
      </c>
      <c r="I110">
        <f t="shared" si="10"/>
        <v>1</v>
      </c>
      <c r="J110">
        <f t="shared" si="11"/>
        <v>1900</v>
      </c>
    </row>
    <row r="111" spans="3:10" x14ac:dyDescent="0.35">
      <c r="C111" t="str">
        <f ca="1">IFERROR(_xludf.XLOOKUP(B111,'Task Master'!A:A,'Task Master'!C:C),"")</f>
        <v/>
      </c>
      <c r="H111">
        <f t="shared" si="9"/>
        <v>0</v>
      </c>
      <c r="I111">
        <f t="shared" si="10"/>
        <v>1</v>
      </c>
      <c r="J111">
        <f t="shared" si="11"/>
        <v>1900</v>
      </c>
    </row>
    <row r="112" spans="3:10" x14ac:dyDescent="0.35">
      <c r="C112" t="str">
        <f ca="1">IFERROR(_xludf.XLOOKUP(B112,'Task Master'!A:A,'Task Master'!C:C),"")</f>
        <v/>
      </c>
      <c r="H112">
        <f t="shared" si="9"/>
        <v>0</v>
      </c>
      <c r="I112">
        <f t="shared" si="10"/>
        <v>1</v>
      </c>
      <c r="J112">
        <f t="shared" si="11"/>
        <v>1900</v>
      </c>
    </row>
    <row r="113" spans="3:10" x14ac:dyDescent="0.35">
      <c r="C113" t="str">
        <f ca="1">IFERROR(_xludf.XLOOKUP(B113,'Task Master'!A:A,'Task Master'!C:C),"")</f>
        <v/>
      </c>
      <c r="H113">
        <f t="shared" si="9"/>
        <v>0</v>
      </c>
      <c r="I113">
        <f t="shared" si="10"/>
        <v>1</v>
      </c>
      <c r="J113">
        <f t="shared" si="11"/>
        <v>1900</v>
      </c>
    </row>
    <row r="114" spans="3:10" x14ac:dyDescent="0.35">
      <c r="C114" t="str">
        <f ca="1">IFERROR(_xludf.XLOOKUP(B114,'Task Master'!A:A,'Task Master'!C:C),"")</f>
        <v/>
      </c>
      <c r="H114">
        <f t="shared" si="9"/>
        <v>0</v>
      </c>
      <c r="I114">
        <f t="shared" si="10"/>
        <v>1</v>
      </c>
      <c r="J114">
        <f t="shared" si="11"/>
        <v>1900</v>
      </c>
    </row>
    <row r="115" spans="3:10" x14ac:dyDescent="0.35">
      <c r="C115" t="str">
        <f ca="1">IFERROR(_xludf.XLOOKUP(B115,'Task Master'!A:A,'Task Master'!C:C),"")</f>
        <v/>
      </c>
      <c r="H115">
        <f t="shared" si="9"/>
        <v>0</v>
      </c>
      <c r="I115">
        <f t="shared" si="10"/>
        <v>1</v>
      </c>
      <c r="J115">
        <f t="shared" si="11"/>
        <v>1900</v>
      </c>
    </row>
    <row r="116" spans="3:10" x14ac:dyDescent="0.35">
      <c r="C116" t="str">
        <f ca="1">IFERROR(_xludf.XLOOKUP(B116,'Task Master'!A:A,'Task Master'!C:C),"")</f>
        <v/>
      </c>
      <c r="H116">
        <f t="shared" si="9"/>
        <v>0</v>
      </c>
      <c r="I116">
        <f t="shared" si="10"/>
        <v>1</v>
      </c>
      <c r="J116">
        <f t="shared" si="11"/>
        <v>1900</v>
      </c>
    </row>
    <row r="117" spans="3:10" x14ac:dyDescent="0.35">
      <c r="C117" t="str">
        <f ca="1">IFERROR(_xludf.XLOOKUP(B117,'Task Master'!A:A,'Task Master'!C:C),"")</f>
        <v/>
      </c>
      <c r="H117">
        <f t="shared" si="9"/>
        <v>0</v>
      </c>
      <c r="I117">
        <f t="shared" si="10"/>
        <v>1</v>
      </c>
      <c r="J117">
        <f t="shared" si="11"/>
        <v>1900</v>
      </c>
    </row>
    <row r="118" spans="3:10" x14ac:dyDescent="0.35">
      <c r="C118" t="str">
        <f ca="1">IFERROR(_xludf.XLOOKUP(B118,'Task Master'!A:A,'Task Master'!C:C),"")</f>
        <v/>
      </c>
      <c r="H118">
        <f t="shared" si="9"/>
        <v>0</v>
      </c>
      <c r="I118">
        <f t="shared" si="10"/>
        <v>1</v>
      </c>
      <c r="J118">
        <f t="shared" si="11"/>
        <v>1900</v>
      </c>
    </row>
    <row r="119" spans="3:10" x14ac:dyDescent="0.35">
      <c r="C119" t="str">
        <f ca="1">IFERROR(_xludf.XLOOKUP(B119,'Task Master'!A:A,'Task Master'!C:C),"")</f>
        <v/>
      </c>
      <c r="H119">
        <f t="shared" si="9"/>
        <v>0</v>
      </c>
      <c r="I119">
        <f t="shared" si="10"/>
        <v>1</v>
      </c>
      <c r="J119">
        <f t="shared" si="11"/>
        <v>1900</v>
      </c>
    </row>
    <row r="120" spans="3:10" x14ac:dyDescent="0.35">
      <c r="C120" t="str">
        <f ca="1">IFERROR(_xludf.XLOOKUP(B120,'Task Master'!A:A,'Task Master'!C:C),"")</f>
        <v/>
      </c>
      <c r="H120">
        <f t="shared" si="9"/>
        <v>0</v>
      </c>
      <c r="I120">
        <f t="shared" si="10"/>
        <v>1</v>
      </c>
      <c r="J120">
        <f t="shared" si="11"/>
        <v>1900</v>
      </c>
    </row>
    <row r="121" spans="3:10" x14ac:dyDescent="0.35">
      <c r="C121" t="str">
        <f ca="1">IFERROR(_xludf.XLOOKUP(B121,'Task Master'!A:A,'Task Master'!C:C),"")</f>
        <v/>
      </c>
      <c r="H121">
        <f t="shared" si="9"/>
        <v>0</v>
      </c>
      <c r="I121">
        <f t="shared" si="10"/>
        <v>1</v>
      </c>
      <c r="J121">
        <f t="shared" si="11"/>
        <v>1900</v>
      </c>
    </row>
    <row r="122" spans="3:10" x14ac:dyDescent="0.35">
      <c r="C122" t="str">
        <f ca="1">IFERROR(_xludf.XLOOKUP(B122,'Task Master'!A:A,'Task Master'!C:C),"")</f>
        <v/>
      </c>
      <c r="H122">
        <f t="shared" si="9"/>
        <v>0</v>
      </c>
      <c r="I122">
        <f t="shared" si="10"/>
        <v>1</v>
      </c>
      <c r="J122">
        <f t="shared" si="11"/>
        <v>1900</v>
      </c>
    </row>
    <row r="123" spans="3:10" x14ac:dyDescent="0.35">
      <c r="C123" t="str">
        <f ca="1">IFERROR(_xludf.XLOOKUP(B123,'Task Master'!A:A,'Task Master'!C:C),"")</f>
        <v/>
      </c>
      <c r="H123">
        <f t="shared" si="9"/>
        <v>0</v>
      </c>
      <c r="I123">
        <f t="shared" si="10"/>
        <v>1</v>
      </c>
      <c r="J123">
        <f t="shared" si="11"/>
        <v>1900</v>
      </c>
    </row>
    <row r="124" spans="3:10" x14ac:dyDescent="0.35">
      <c r="C124" t="str">
        <f ca="1">IFERROR(_xludf.XLOOKUP(B124,'Task Master'!A:A,'Task Master'!C:C),"")</f>
        <v/>
      </c>
      <c r="H124">
        <f t="shared" si="9"/>
        <v>0</v>
      </c>
      <c r="I124">
        <f t="shared" si="10"/>
        <v>1</v>
      </c>
      <c r="J124">
        <f t="shared" si="11"/>
        <v>1900</v>
      </c>
    </row>
    <row r="125" spans="3:10" x14ac:dyDescent="0.35">
      <c r="C125" t="str">
        <f ca="1">IFERROR(_xludf.XLOOKUP(B125,'Task Master'!A:A,'Task Master'!C:C),"")</f>
        <v/>
      </c>
      <c r="H125">
        <f t="shared" si="9"/>
        <v>0</v>
      </c>
      <c r="I125">
        <f t="shared" si="10"/>
        <v>1</v>
      </c>
      <c r="J125">
        <f t="shared" si="11"/>
        <v>1900</v>
      </c>
    </row>
    <row r="126" spans="3:10" x14ac:dyDescent="0.35">
      <c r="C126" t="str">
        <f ca="1">IFERROR(_xludf.XLOOKUP(B126,'Task Master'!A:A,'Task Master'!C:C),"")</f>
        <v/>
      </c>
      <c r="H126">
        <f t="shared" si="9"/>
        <v>0</v>
      </c>
      <c r="I126">
        <f t="shared" si="10"/>
        <v>1</v>
      </c>
      <c r="J126">
        <f t="shared" si="11"/>
        <v>1900</v>
      </c>
    </row>
    <row r="127" spans="3:10" x14ac:dyDescent="0.35">
      <c r="C127" t="str">
        <f ca="1">IFERROR(_xludf.XLOOKUP(B127,'Task Master'!A:A,'Task Master'!C:C),"")</f>
        <v/>
      </c>
      <c r="H127">
        <f t="shared" si="9"/>
        <v>0</v>
      </c>
      <c r="I127">
        <f t="shared" si="10"/>
        <v>1</v>
      </c>
      <c r="J127">
        <f t="shared" si="11"/>
        <v>1900</v>
      </c>
    </row>
    <row r="128" spans="3:10" x14ac:dyDescent="0.35">
      <c r="C128" t="str">
        <f ca="1">IFERROR(_xludf.XLOOKUP(B128,'Task Master'!A:A,'Task Master'!C:C),"")</f>
        <v/>
      </c>
      <c r="H128">
        <f t="shared" si="9"/>
        <v>0</v>
      </c>
      <c r="I128">
        <f t="shared" si="10"/>
        <v>1</v>
      </c>
      <c r="J128">
        <f t="shared" si="11"/>
        <v>1900</v>
      </c>
    </row>
    <row r="129" spans="3:10" x14ac:dyDescent="0.35">
      <c r="C129" t="str">
        <f ca="1">IFERROR(_xludf.XLOOKUP(B129,'Task Master'!A:A,'Task Master'!C:C),"")</f>
        <v/>
      </c>
      <c r="H129">
        <f t="shared" si="9"/>
        <v>0</v>
      </c>
      <c r="I129">
        <f t="shared" si="10"/>
        <v>1</v>
      </c>
      <c r="J129">
        <f t="shared" si="11"/>
        <v>1900</v>
      </c>
    </row>
    <row r="130" spans="3:10" x14ac:dyDescent="0.35">
      <c r="C130" t="str">
        <f ca="1">IFERROR(_xludf.XLOOKUP(B130,'Task Master'!A:A,'Task Master'!C:C),"")</f>
        <v/>
      </c>
      <c r="H130">
        <f t="shared" ref="H130:H161" si="12">WEEKNUM(A130)</f>
        <v>0</v>
      </c>
      <c r="I130">
        <f t="shared" ref="I130:I161" si="13">MONTH(A130)</f>
        <v>1</v>
      </c>
      <c r="J130">
        <f t="shared" ref="J130:J161" si="14">YEAR(A130)</f>
        <v>1900</v>
      </c>
    </row>
    <row r="131" spans="3:10" x14ac:dyDescent="0.35">
      <c r="C131" t="str">
        <f ca="1">IFERROR(_xludf.XLOOKUP(B131,'Task Master'!A:A,'Task Master'!C:C),"")</f>
        <v/>
      </c>
      <c r="H131">
        <f t="shared" si="12"/>
        <v>0</v>
      </c>
      <c r="I131">
        <f t="shared" si="13"/>
        <v>1</v>
      </c>
      <c r="J131">
        <f t="shared" si="14"/>
        <v>1900</v>
      </c>
    </row>
    <row r="132" spans="3:10" x14ac:dyDescent="0.35">
      <c r="C132" t="str">
        <f ca="1">IFERROR(_xludf.XLOOKUP(B132,'Task Master'!A:A,'Task Master'!C:C),"")</f>
        <v/>
      </c>
      <c r="H132">
        <f t="shared" si="12"/>
        <v>0</v>
      </c>
      <c r="I132">
        <f t="shared" si="13"/>
        <v>1</v>
      </c>
      <c r="J132">
        <f t="shared" si="14"/>
        <v>1900</v>
      </c>
    </row>
    <row r="133" spans="3:10" x14ac:dyDescent="0.35">
      <c r="C133" t="str">
        <f ca="1">IFERROR(_xludf.XLOOKUP(B133,'Task Master'!A:A,'Task Master'!C:C),"")</f>
        <v/>
      </c>
      <c r="H133">
        <f t="shared" si="12"/>
        <v>0</v>
      </c>
      <c r="I133">
        <f t="shared" si="13"/>
        <v>1</v>
      </c>
      <c r="J133">
        <f t="shared" si="14"/>
        <v>1900</v>
      </c>
    </row>
    <row r="134" spans="3:10" x14ac:dyDescent="0.35">
      <c r="C134" t="str">
        <f ca="1">IFERROR(_xludf.XLOOKUP(B134,'Task Master'!A:A,'Task Master'!C:C),"")</f>
        <v/>
      </c>
      <c r="H134">
        <f t="shared" si="12"/>
        <v>0</v>
      </c>
      <c r="I134">
        <f t="shared" si="13"/>
        <v>1</v>
      </c>
      <c r="J134">
        <f t="shared" si="14"/>
        <v>1900</v>
      </c>
    </row>
    <row r="135" spans="3:10" x14ac:dyDescent="0.35">
      <c r="C135" t="str">
        <f ca="1">IFERROR(_xludf.XLOOKUP(B135,'Task Master'!A:A,'Task Master'!C:C),"")</f>
        <v/>
      </c>
      <c r="H135">
        <f t="shared" si="12"/>
        <v>0</v>
      </c>
      <c r="I135">
        <f t="shared" si="13"/>
        <v>1</v>
      </c>
      <c r="J135">
        <f t="shared" si="14"/>
        <v>1900</v>
      </c>
    </row>
    <row r="136" spans="3:10" x14ac:dyDescent="0.35">
      <c r="C136" t="str">
        <f ca="1">IFERROR(_xludf.XLOOKUP(B136,'Task Master'!A:A,'Task Master'!C:C),"")</f>
        <v/>
      </c>
      <c r="H136">
        <f t="shared" si="12"/>
        <v>0</v>
      </c>
      <c r="I136">
        <f t="shared" si="13"/>
        <v>1</v>
      </c>
      <c r="J136">
        <f t="shared" si="14"/>
        <v>1900</v>
      </c>
    </row>
    <row r="137" spans="3:10" x14ac:dyDescent="0.35">
      <c r="C137" t="str">
        <f ca="1">IFERROR(_xludf.XLOOKUP(B137,'Task Master'!A:A,'Task Master'!C:C),"")</f>
        <v/>
      </c>
      <c r="H137">
        <f t="shared" si="12"/>
        <v>0</v>
      </c>
      <c r="I137">
        <f t="shared" si="13"/>
        <v>1</v>
      </c>
      <c r="J137">
        <f t="shared" si="14"/>
        <v>1900</v>
      </c>
    </row>
    <row r="138" spans="3:10" x14ac:dyDescent="0.35">
      <c r="C138" t="str">
        <f ca="1">IFERROR(_xludf.XLOOKUP(B138,'Task Master'!A:A,'Task Master'!C:C),"")</f>
        <v/>
      </c>
      <c r="H138">
        <f t="shared" si="12"/>
        <v>0</v>
      </c>
      <c r="I138">
        <f t="shared" si="13"/>
        <v>1</v>
      </c>
      <c r="J138">
        <f t="shared" si="14"/>
        <v>1900</v>
      </c>
    </row>
    <row r="139" spans="3:10" x14ac:dyDescent="0.35">
      <c r="C139" t="str">
        <f ca="1">IFERROR(_xludf.XLOOKUP(B139,'Task Master'!A:A,'Task Master'!C:C),"")</f>
        <v/>
      </c>
      <c r="H139">
        <f t="shared" si="12"/>
        <v>0</v>
      </c>
      <c r="I139">
        <f t="shared" si="13"/>
        <v>1</v>
      </c>
      <c r="J139">
        <f t="shared" si="14"/>
        <v>1900</v>
      </c>
    </row>
    <row r="140" spans="3:10" x14ac:dyDescent="0.35">
      <c r="C140" t="str">
        <f ca="1">IFERROR(_xludf.XLOOKUP(B140,'Task Master'!A:A,'Task Master'!C:C),"")</f>
        <v/>
      </c>
      <c r="H140">
        <f t="shared" si="12"/>
        <v>0</v>
      </c>
      <c r="I140">
        <f t="shared" si="13"/>
        <v>1</v>
      </c>
      <c r="J140">
        <f t="shared" si="14"/>
        <v>1900</v>
      </c>
    </row>
    <row r="141" spans="3:10" x14ac:dyDescent="0.35">
      <c r="C141" t="str">
        <f ca="1">IFERROR(_xludf.XLOOKUP(B141,'Task Master'!A:A,'Task Master'!C:C),"")</f>
        <v/>
      </c>
      <c r="H141">
        <f t="shared" si="12"/>
        <v>0</v>
      </c>
      <c r="I141">
        <f t="shared" si="13"/>
        <v>1</v>
      </c>
      <c r="J141">
        <f t="shared" si="14"/>
        <v>1900</v>
      </c>
    </row>
    <row r="142" spans="3:10" x14ac:dyDescent="0.35">
      <c r="C142" t="str">
        <f ca="1">IFERROR(_xludf.XLOOKUP(B142,'Task Master'!A:A,'Task Master'!C:C),"")</f>
        <v/>
      </c>
      <c r="H142">
        <f t="shared" si="12"/>
        <v>0</v>
      </c>
      <c r="I142">
        <f t="shared" si="13"/>
        <v>1</v>
      </c>
      <c r="J142">
        <f t="shared" si="14"/>
        <v>1900</v>
      </c>
    </row>
    <row r="143" spans="3:10" x14ac:dyDescent="0.35">
      <c r="C143" t="str">
        <f ca="1">IFERROR(_xludf.XLOOKUP(B143,'Task Master'!A:A,'Task Master'!C:C),"")</f>
        <v/>
      </c>
      <c r="H143">
        <f t="shared" si="12"/>
        <v>0</v>
      </c>
      <c r="I143">
        <f t="shared" si="13"/>
        <v>1</v>
      </c>
      <c r="J143">
        <f t="shared" si="14"/>
        <v>1900</v>
      </c>
    </row>
    <row r="144" spans="3:10" x14ac:dyDescent="0.35">
      <c r="C144" t="str">
        <f ca="1">IFERROR(_xludf.XLOOKUP(B144,'Task Master'!A:A,'Task Master'!C:C),"")</f>
        <v/>
      </c>
      <c r="H144">
        <f t="shared" si="12"/>
        <v>0</v>
      </c>
      <c r="I144">
        <f t="shared" si="13"/>
        <v>1</v>
      </c>
      <c r="J144">
        <f t="shared" si="14"/>
        <v>1900</v>
      </c>
    </row>
    <row r="145" spans="3:10" x14ac:dyDescent="0.35">
      <c r="C145" t="str">
        <f ca="1">IFERROR(_xludf.XLOOKUP(B145,'Task Master'!A:A,'Task Master'!C:C),"")</f>
        <v/>
      </c>
      <c r="H145">
        <f t="shared" si="12"/>
        <v>0</v>
      </c>
      <c r="I145">
        <f t="shared" si="13"/>
        <v>1</v>
      </c>
      <c r="J145">
        <f t="shared" si="14"/>
        <v>1900</v>
      </c>
    </row>
    <row r="146" spans="3:10" x14ac:dyDescent="0.35">
      <c r="C146" t="str">
        <f ca="1">IFERROR(_xludf.XLOOKUP(B146,'Task Master'!A:A,'Task Master'!C:C),"")</f>
        <v/>
      </c>
      <c r="H146">
        <f t="shared" si="12"/>
        <v>0</v>
      </c>
      <c r="I146">
        <f t="shared" si="13"/>
        <v>1</v>
      </c>
      <c r="J146">
        <f t="shared" si="14"/>
        <v>1900</v>
      </c>
    </row>
    <row r="147" spans="3:10" x14ac:dyDescent="0.35">
      <c r="C147" t="str">
        <f ca="1">IFERROR(_xludf.XLOOKUP(B147,'Task Master'!A:A,'Task Master'!C:C),"")</f>
        <v/>
      </c>
      <c r="H147">
        <f t="shared" si="12"/>
        <v>0</v>
      </c>
      <c r="I147">
        <f t="shared" si="13"/>
        <v>1</v>
      </c>
      <c r="J147">
        <f t="shared" si="14"/>
        <v>1900</v>
      </c>
    </row>
    <row r="148" spans="3:10" x14ac:dyDescent="0.35">
      <c r="C148" t="str">
        <f ca="1">IFERROR(_xludf.XLOOKUP(B148,'Task Master'!A:A,'Task Master'!C:C),"")</f>
        <v/>
      </c>
      <c r="H148">
        <f t="shared" si="12"/>
        <v>0</v>
      </c>
      <c r="I148">
        <f t="shared" si="13"/>
        <v>1</v>
      </c>
      <c r="J148">
        <f t="shared" si="14"/>
        <v>1900</v>
      </c>
    </row>
    <row r="149" spans="3:10" x14ac:dyDescent="0.35">
      <c r="C149" t="str">
        <f ca="1">IFERROR(_xludf.XLOOKUP(B149,'Task Master'!A:A,'Task Master'!C:C),"")</f>
        <v/>
      </c>
      <c r="H149">
        <f t="shared" si="12"/>
        <v>0</v>
      </c>
      <c r="I149">
        <f t="shared" si="13"/>
        <v>1</v>
      </c>
      <c r="J149">
        <f t="shared" si="14"/>
        <v>1900</v>
      </c>
    </row>
    <row r="150" spans="3:10" x14ac:dyDescent="0.35">
      <c r="C150" t="str">
        <f ca="1">IFERROR(_xludf.XLOOKUP(B150,'Task Master'!A:A,'Task Master'!C:C),"")</f>
        <v/>
      </c>
      <c r="H150">
        <f t="shared" si="12"/>
        <v>0</v>
      </c>
      <c r="I150">
        <f t="shared" si="13"/>
        <v>1</v>
      </c>
      <c r="J150">
        <f t="shared" si="14"/>
        <v>1900</v>
      </c>
    </row>
    <row r="151" spans="3:10" x14ac:dyDescent="0.35">
      <c r="C151" t="str">
        <f ca="1">IFERROR(_xludf.XLOOKUP(B151,'Task Master'!A:A,'Task Master'!C:C),"")</f>
        <v/>
      </c>
      <c r="H151">
        <f t="shared" si="12"/>
        <v>0</v>
      </c>
      <c r="I151">
        <f t="shared" si="13"/>
        <v>1</v>
      </c>
      <c r="J151">
        <f t="shared" si="14"/>
        <v>1900</v>
      </c>
    </row>
    <row r="152" spans="3:10" x14ac:dyDescent="0.35">
      <c r="C152" t="str">
        <f ca="1">IFERROR(_xludf.XLOOKUP(B152,'Task Master'!A:A,'Task Master'!C:C),"")</f>
        <v/>
      </c>
      <c r="H152">
        <f t="shared" si="12"/>
        <v>0</v>
      </c>
      <c r="I152">
        <f t="shared" si="13"/>
        <v>1</v>
      </c>
      <c r="J152">
        <f t="shared" si="14"/>
        <v>1900</v>
      </c>
    </row>
    <row r="153" spans="3:10" x14ac:dyDescent="0.35">
      <c r="C153" t="str">
        <f ca="1">IFERROR(_xludf.XLOOKUP(B153,'Task Master'!A:A,'Task Master'!C:C),"")</f>
        <v/>
      </c>
      <c r="H153">
        <f t="shared" si="12"/>
        <v>0</v>
      </c>
      <c r="I153">
        <f t="shared" si="13"/>
        <v>1</v>
      </c>
      <c r="J153">
        <f t="shared" si="14"/>
        <v>1900</v>
      </c>
    </row>
    <row r="154" spans="3:10" x14ac:dyDescent="0.35">
      <c r="C154" t="str">
        <f ca="1">IFERROR(_xludf.XLOOKUP(B154,'Task Master'!A:A,'Task Master'!C:C),"")</f>
        <v/>
      </c>
      <c r="H154">
        <f t="shared" si="12"/>
        <v>0</v>
      </c>
      <c r="I154">
        <f t="shared" si="13"/>
        <v>1</v>
      </c>
      <c r="J154">
        <f t="shared" si="14"/>
        <v>1900</v>
      </c>
    </row>
    <row r="155" spans="3:10" x14ac:dyDescent="0.35">
      <c r="C155" t="str">
        <f ca="1">IFERROR(_xludf.XLOOKUP(B155,'Task Master'!A:A,'Task Master'!C:C),"")</f>
        <v/>
      </c>
      <c r="H155">
        <f t="shared" si="12"/>
        <v>0</v>
      </c>
      <c r="I155">
        <f t="shared" si="13"/>
        <v>1</v>
      </c>
      <c r="J155">
        <f t="shared" si="14"/>
        <v>1900</v>
      </c>
    </row>
    <row r="156" spans="3:10" x14ac:dyDescent="0.35">
      <c r="C156" t="str">
        <f ca="1">IFERROR(_xludf.XLOOKUP(B156,'Task Master'!A:A,'Task Master'!C:C),"")</f>
        <v/>
      </c>
      <c r="H156">
        <f t="shared" si="12"/>
        <v>0</v>
      </c>
      <c r="I156">
        <f t="shared" si="13"/>
        <v>1</v>
      </c>
      <c r="J156">
        <f t="shared" si="14"/>
        <v>1900</v>
      </c>
    </row>
    <row r="157" spans="3:10" x14ac:dyDescent="0.35">
      <c r="C157" t="str">
        <f ca="1">IFERROR(_xludf.XLOOKUP(B157,'Task Master'!A:A,'Task Master'!C:C),"")</f>
        <v/>
      </c>
      <c r="H157">
        <f t="shared" si="12"/>
        <v>0</v>
      </c>
      <c r="I157">
        <f t="shared" si="13"/>
        <v>1</v>
      </c>
      <c r="J157">
        <f t="shared" si="14"/>
        <v>1900</v>
      </c>
    </row>
    <row r="158" spans="3:10" x14ac:dyDescent="0.35">
      <c r="C158" t="str">
        <f ca="1">IFERROR(_xludf.XLOOKUP(B158,'Task Master'!A:A,'Task Master'!C:C),"")</f>
        <v/>
      </c>
      <c r="H158">
        <f t="shared" si="12"/>
        <v>0</v>
      </c>
      <c r="I158">
        <f t="shared" si="13"/>
        <v>1</v>
      </c>
      <c r="J158">
        <f t="shared" si="14"/>
        <v>1900</v>
      </c>
    </row>
    <row r="159" spans="3:10" x14ac:dyDescent="0.35">
      <c r="C159" t="str">
        <f ca="1">IFERROR(_xludf.XLOOKUP(B159,'Task Master'!A:A,'Task Master'!C:C),"")</f>
        <v/>
      </c>
      <c r="H159">
        <f t="shared" si="12"/>
        <v>0</v>
      </c>
      <c r="I159">
        <f t="shared" si="13"/>
        <v>1</v>
      </c>
      <c r="J159">
        <f t="shared" si="14"/>
        <v>1900</v>
      </c>
    </row>
    <row r="160" spans="3:10" x14ac:dyDescent="0.35">
      <c r="C160" t="str">
        <f ca="1">IFERROR(_xludf.XLOOKUP(B160,'Task Master'!A:A,'Task Master'!C:C),"")</f>
        <v/>
      </c>
      <c r="H160">
        <f t="shared" si="12"/>
        <v>0</v>
      </c>
      <c r="I160">
        <f t="shared" si="13"/>
        <v>1</v>
      </c>
      <c r="J160">
        <f t="shared" si="14"/>
        <v>1900</v>
      </c>
    </row>
    <row r="161" spans="3:10" x14ac:dyDescent="0.35">
      <c r="C161" t="str">
        <f ca="1">IFERROR(_xludf.XLOOKUP(B161,'Task Master'!A:A,'Task Master'!C:C),"")</f>
        <v/>
      </c>
      <c r="H161">
        <f t="shared" si="12"/>
        <v>0</v>
      </c>
      <c r="I161">
        <f t="shared" si="13"/>
        <v>1</v>
      </c>
      <c r="J161">
        <f t="shared" si="14"/>
        <v>1900</v>
      </c>
    </row>
    <row r="162" spans="3:10" x14ac:dyDescent="0.35">
      <c r="C162" t="str">
        <f ca="1">IFERROR(_xludf.XLOOKUP(B162,'Task Master'!A:A,'Task Master'!C:C),"")</f>
        <v/>
      </c>
      <c r="H162">
        <f t="shared" ref="H162:H193" si="15">WEEKNUM(A162)</f>
        <v>0</v>
      </c>
      <c r="I162">
        <f t="shared" ref="I162:I193" si="16">MONTH(A162)</f>
        <v>1</v>
      </c>
      <c r="J162">
        <f t="shared" ref="J162:J193" si="17">YEAR(A162)</f>
        <v>1900</v>
      </c>
    </row>
    <row r="163" spans="3:10" x14ac:dyDescent="0.35">
      <c r="C163" t="str">
        <f ca="1">IFERROR(_xludf.XLOOKUP(B163,'Task Master'!A:A,'Task Master'!C:C),"")</f>
        <v/>
      </c>
      <c r="H163">
        <f t="shared" si="15"/>
        <v>0</v>
      </c>
      <c r="I163">
        <f t="shared" si="16"/>
        <v>1</v>
      </c>
      <c r="J163">
        <f t="shared" si="17"/>
        <v>1900</v>
      </c>
    </row>
    <row r="164" spans="3:10" x14ac:dyDescent="0.35">
      <c r="C164" t="str">
        <f ca="1">IFERROR(_xludf.XLOOKUP(B164,'Task Master'!A:A,'Task Master'!C:C),"")</f>
        <v/>
      </c>
      <c r="H164">
        <f t="shared" si="15"/>
        <v>0</v>
      </c>
      <c r="I164">
        <f t="shared" si="16"/>
        <v>1</v>
      </c>
      <c r="J164">
        <f t="shared" si="17"/>
        <v>1900</v>
      </c>
    </row>
    <row r="165" spans="3:10" x14ac:dyDescent="0.35">
      <c r="C165" t="str">
        <f ca="1">IFERROR(_xludf.XLOOKUP(B165,'Task Master'!A:A,'Task Master'!C:C),"")</f>
        <v/>
      </c>
      <c r="H165">
        <f t="shared" si="15"/>
        <v>0</v>
      </c>
      <c r="I165">
        <f t="shared" si="16"/>
        <v>1</v>
      </c>
      <c r="J165">
        <f t="shared" si="17"/>
        <v>1900</v>
      </c>
    </row>
    <row r="166" spans="3:10" x14ac:dyDescent="0.35">
      <c r="C166" t="str">
        <f ca="1">IFERROR(_xludf.XLOOKUP(B166,'Task Master'!A:A,'Task Master'!C:C),"")</f>
        <v/>
      </c>
      <c r="H166">
        <f t="shared" si="15"/>
        <v>0</v>
      </c>
      <c r="I166">
        <f t="shared" si="16"/>
        <v>1</v>
      </c>
      <c r="J166">
        <f t="shared" si="17"/>
        <v>1900</v>
      </c>
    </row>
    <row r="167" spans="3:10" x14ac:dyDescent="0.35">
      <c r="C167" t="str">
        <f ca="1">IFERROR(_xludf.XLOOKUP(B167,'Task Master'!A:A,'Task Master'!C:C),"")</f>
        <v/>
      </c>
      <c r="H167">
        <f t="shared" si="15"/>
        <v>0</v>
      </c>
      <c r="I167">
        <f t="shared" si="16"/>
        <v>1</v>
      </c>
      <c r="J167">
        <f t="shared" si="17"/>
        <v>1900</v>
      </c>
    </row>
    <row r="168" spans="3:10" x14ac:dyDescent="0.35">
      <c r="C168" t="str">
        <f ca="1">IFERROR(_xludf.XLOOKUP(B168,'Task Master'!A:A,'Task Master'!C:C),"")</f>
        <v/>
      </c>
      <c r="H168">
        <f t="shared" si="15"/>
        <v>0</v>
      </c>
      <c r="I168">
        <f t="shared" si="16"/>
        <v>1</v>
      </c>
      <c r="J168">
        <f t="shared" si="17"/>
        <v>1900</v>
      </c>
    </row>
    <row r="169" spans="3:10" x14ac:dyDescent="0.35">
      <c r="C169" t="str">
        <f ca="1">IFERROR(_xludf.XLOOKUP(B169,'Task Master'!A:A,'Task Master'!C:C),"")</f>
        <v/>
      </c>
      <c r="H169">
        <f t="shared" si="15"/>
        <v>0</v>
      </c>
      <c r="I169">
        <f t="shared" si="16"/>
        <v>1</v>
      </c>
      <c r="J169">
        <f t="shared" si="17"/>
        <v>1900</v>
      </c>
    </row>
    <row r="170" spans="3:10" x14ac:dyDescent="0.35">
      <c r="C170" t="str">
        <f ca="1">IFERROR(_xludf.XLOOKUP(B170,'Task Master'!A:A,'Task Master'!C:C),"")</f>
        <v/>
      </c>
      <c r="H170">
        <f t="shared" si="15"/>
        <v>0</v>
      </c>
      <c r="I170">
        <f t="shared" si="16"/>
        <v>1</v>
      </c>
      <c r="J170">
        <f t="shared" si="17"/>
        <v>1900</v>
      </c>
    </row>
    <row r="171" spans="3:10" x14ac:dyDescent="0.35">
      <c r="C171" t="str">
        <f ca="1">IFERROR(_xludf.XLOOKUP(B171,'Task Master'!A:A,'Task Master'!C:C),"")</f>
        <v/>
      </c>
      <c r="H171">
        <f t="shared" si="15"/>
        <v>0</v>
      </c>
      <c r="I171">
        <f t="shared" si="16"/>
        <v>1</v>
      </c>
      <c r="J171">
        <f t="shared" si="17"/>
        <v>1900</v>
      </c>
    </row>
    <row r="172" spans="3:10" x14ac:dyDescent="0.35">
      <c r="C172" t="str">
        <f ca="1">IFERROR(_xludf.XLOOKUP(B172,'Task Master'!A:A,'Task Master'!C:C),"")</f>
        <v/>
      </c>
      <c r="H172">
        <f t="shared" si="15"/>
        <v>0</v>
      </c>
      <c r="I172">
        <f t="shared" si="16"/>
        <v>1</v>
      </c>
      <c r="J172">
        <f t="shared" si="17"/>
        <v>1900</v>
      </c>
    </row>
    <row r="173" spans="3:10" x14ac:dyDescent="0.35">
      <c r="C173" t="str">
        <f ca="1">IFERROR(_xludf.XLOOKUP(B173,'Task Master'!A:A,'Task Master'!C:C),"")</f>
        <v/>
      </c>
      <c r="H173">
        <f t="shared" si="15"/>
        <v>0</v>
      </c>
      <c r="I173">
        <f t="shared" si="16"/>
        <v>1</v>
      </c>
      <c r="J173">
        <f t="shared" si="17"/>
        <v>1900</v>
      </c>
    </row>
    <row r="174" spans="3:10" x14ac:dyDescent="0.35">
      <c r="C174" t="str">
        <f ca="1">IFERROR(_xludf.XLOOKUP(B174,'Task Master'!A:A,'Task Master'!C:C),"")</f>
        <v/>
      </c>
      <c r="H174">
        <f t="shared" si="15"/>
        <v>0</v>
      </c>
      <c r="I174">
        <f t="shared" si="16"/>
        <v>1</v>
      </c>
      <c r="J174">
        <f t="shared" si="17"/>
        <v>1900</v>
      </c>
    </row>
    <row r="175" spans="3:10" x14ac:dyDescent="0.35">
      <c r="C175" t="str">
        <f ca="1">IFERROR(_xludf.XLOOKUP(B175,'Task Master'!A:A,'Task Master'!C:C),"")</f>
        <v/>
      </c>
      <c r="H175">
        <f t="shared" si="15"/>
        <v>0</v>
      </c>
      <c r="I175">
        <f t="shared" si="16"/>
        <v>1</v>
      </c>
      <c r="J175">
        <f t="shared" si="17"/>
        <v>1900</v>
      </c>
    </row>
    <row r="176" spans="3:10" x14ac:dyDescent="0.35">
      <c r="C176" t="str">
        <f ca="1">IFERROR(_xludf.XLOOKUP(B176,'Task Master'!A:A,'Task Master'!C:C),"")</f>
        <v/>
      </c>
      <c r="H176">
        <f t="shared" si="15"/>
        <v>0</v>
      </c>
      <c r="I176">
        <f t="shared" si="16"/>
        <v>1</v>
      </c>
      <c r="J176">
        <f t="shared" si="17"/>
        <v>1900</v>
      </c>
    </row>
    <row r="177" spans="3:10" x14ac:dyDescent="0.35">
      <c r="C177" t="str">
        <f ca="1">IFERROR(_xludf.XLOOKUP(B177,'Task Master'!A:A,'Task Master'!C:C),"")</f>
        <v/>
      </c>
      <c r="H177">
        <f t="shared" si="15"/>
        <v>0</v>
      </c>
      <c r="I177">
        <f t="shared" si="16"/>
        <v>1</v>
      </c>
      <c r="J177">
        <f t="shared" si="17"/>
        <v>1900</v>
      </c>
    </row>
    <row r="178" spans="3:10" x14ac:dyDescent="0.35">
      <c r="C178" t="str">
        <f ca="1">IFERROR(_xludf.XLOOKUP(B178,'Task Master'!A:A,'Task Master'!C:C),"")</f>
        <v/>
      </c>
      <c r="H178">
        <f t="shared" si="15"/>
        <v>0</v>
      </c>
      <c r="I178">
        <f t="shared" si="16"/>
        <v>1</v>
      </c>
      <c r="J178">
        <f t="shared" si="17"/>
        <v>1900</v>
      </c>
    </row>
    <row r="179" spans="3:10" x14ac:dyDescent="0.35">
      <c r="C179" t="str">
        <f ca="1">IFERROR(_xludf.XLOOKUP(B179,'Task Master'!A:A,'Task Master'!C:C),"")</f>
        <v/>
      </c>
      <c r="H179">
        <f t="shared" si="15"/>
        <v>0</v>
      </c>
      <c r="I179">
        <f t="shared" si="16"/>
        <v>1</v>
      </c>
      <c r="J179">
        <f t="shared" si="17"/>
        <v>1900</v>
      </c>
    </row>
    <row r="180" spans="3:10" x14ac:dyDescent="0.35">
      <c r="C180" t="str">
        <f ca="1">IFERROR(_xludf.XLOOKUP(B180,'Task Master'!A:A,'Task Master'!C:C),"")</f>
        <v/>
      </c>
      <c r="H180">
        <f t="shared" si="15"/>
        <v>0</v>
      </c>
      <c r="I180">
        <f t="shared" si="16"/>
        <v>1</v>
      </c>
      <c r="J180">
        <f t="shared" si="17"/>
        <v>1900</v>
      </c>
    </row>
    <row r="181" spans="3:10" x14ac:dyDescent="0.35">
      <c r="C181" t="str">
        <f ca="1">IFERROR(_xludf.XLOOKUP(B181,'Task Master'!A:A,'Task Master'!C:C),"")</f>
        <v/>
      </c>
      <c r="H181">
        <f t="shared" si="15"/>
        <v>0</v>
      </c>
      <c r="I181">
        <f t="shared" si="16"/>
        <v>1</v>
      </c>
      <c r="J181">
        <f t="shared" si="17"/>
        <v>1900</v>
      </c>
    </row>
    <row r="182" spans="3:10" x14ac:dyDescent="0.35">
      <c r="C182" t="str">
        <f ca="1">IFERROR(_xludf.XLOOKUP(B182,'Task Master'!A:A,'Task Master'!C:C),"")</f>
        <v/>
      </c>
      <c r="H182">
        <f t="shared" si="15"/>
        <v>0</v>
      </c>
      <c r="I182">
        <f t="shared" si="16"/>
        <v>1</v>
      </c>
      <c r="J182">
        <f t="shared" si="17"/>
        <v>1900</v>
      </c>
    </row>
    <row r="183" spans="3:10" x14ac:dyDescent="0.35">
      <c r="C183" t="str">
        <f ca="1">IFERROR(_xludf.XLOOKUP(B183,'Task Master'!A:A,'Task Master'!C:C),"")</f>
        <v/>
      </c>
      <c r="H183">
        <f t="shared" si="15"/>
        <v>0</v>
      </c>
      <c r="I183">
        <f t="shared" si="16"/>
        <v>1</v>
      </c>
      <c r="J183">
        <f t="shared" si="17"/>
        <v>1900</v>
      </c>
    </row>
    <row r="184" spans="3:10" x14ac:dyDescent="0.35">
      <c r="C184" t="str">
        <f ca="1">IFERROR(_xludf.XLOOKUP(B184,'Task Master'!A:A,'Task Master'!C:C),"")</f>
        <v/>
      </c>
      <c r="H184">
        <f t="shared" si="15"/>
        <v>0</v>
      </c>
      <c r="I184">
        <f t="shared" si="16"/>
        <v>1</v>
      </c>
      <c r="J184">
        <f t="shared" si="17"/>
        <v>1900</v>
      </c>
    </row>
    <row r="185" spans="3:10" x14ac:dyDescent="0.35">
      <c r="C185" t="str">
        <f ca="1">IFERROR(_xludf.XLOOKUP(B185,'Task Master'!A:A,'Task Master'!C:C),"")</f>
        <v/>
      </c>
      <c r="H185">
        <f t="shared" si="15"/>
        <v>0</v>
      </c>
      <c r="I185">
        <f t="shared" si="16"/>
        <v>1</v>
      </c>
      <c r="J185">
        <f t="shared" si="17"/>
        <v>1900</v>
      </c>
    </row>
    <row r="186" spans="3:10" x14ac:dyDescent="0.35">
      <c r="C186" t="str">
        <f ca="1">IFERROR(_xludf.XLOOKUP(B186,'Task Master'!A:A,'Task Master'!C:C),"")</f>
        <v/>
      </c>
      <c r="H186">
        <f t="shared" si="15"/>
        <v>0</v>
      </c>
      <c r="I186">
        <f t="shared" si="16"/>
        <v>1</v>
      </c>
      <c r="J186">
        <f t="shared" si="17"/>
        <v>1900</v>
      </c>
    </row>
    <row r="187" spans="3:10" x14ac:dyDescent="0.35">
      <c r="C187" t="str">
        <f ca="1">IFERROR(_xludf.XLOOKUP(B187,'Task Master'!A:A,'Task Master'!C:C),"")</f>
        <v/>
      </c>
      <c r="H187">
        <f t="shared" si="15"/>
        <v>0</v>
      </c>
      <c r="I187">
        <f t="shared" si="16"/>
        <v>1</v>
      </c>
      <c r="J187">
        <f t="shared" si="17"/>
        <v>1900</v>
      </c>
    </row>
    <row r="188" spans="3:10" x14ac:dyDescent="0.35">
      <c r="C188" t="str">
        <f ca="1">IFERROR(_xludf.XLOOKUP(B188,'Task Master'!A:A,'Task Master'!C:C),"")</f>
        <v/>
      </c>
      <c r="H188">
        <f t="shared" si="15"/>
        <v>0</v>
      </c>
      <c r="I188">
        <f t="shared" si="16"/>
        <v>1</v>
      </c>
      <c r="J188">
        <f t="shared" si="17"/>
        <v>1900</v>
      </c>
    </row>
    <row r="189" spans="3:10" x14ac:dyDescent="0.35">
      <c r="C189" t="str">
        <f ca="1">IFERROR(_xludf.XLOOKUP(B189,'Task Master'!A:A,'Task Master'!C:C),"")</f>
        <v/>
      </c>
      <c r="H189">
        <f t="shared" si="15"/>
        <v>0</v>
      </c>
      <c r="I189">
        <f t="shared" si="16"/>
        <v>1</v>
      </c>
      <c r="J189">
        <f t="shared" si="17"/>
        <v>1900</v>
      </c>
    </row>
    <row r="190" spans="3:10" x14ac:dyDescent="0.35">
      <c r="C190" t="str">
        <f ca="1">IFERROR(_xludf.XLOOKUP(B190,'Task Master'!A:A,'Task Master'!C:C),"")</f>
        <v/>
      </c>
      <c r="H190">
        <f t="shared" si="15"/>
        <v>0</v>
      </c>
      <c r="I190">
        <f t="shared" si="16"/>
        <v>1</v>
      </c>
      <c r="J190">
        <f t="shared" si="17"/>
        <v>1900</v>
      </c>
    </row>
    <row r="191" spans="3:10" x14ac:dyDescent="0.35">
      <c r="C191" t="str">
        <f ca="1">IFERROR(_xludf.XLOOKUP(B191,'Task Master'!A:A,'Task Master'!C:C),"")</f>
        <v/>
      </c>
      <c r="H191">
        <f t="shared" si="15"/>
        <v>0</v>
      </c>
      <c r="I191">
        <f t="shared" si="16"/>
        <v>1</v>
      </c>
      <c r="J191">
        <f t="shared" si="17"/>
        <v>1900</v>
      </c>
    </row>
    <row r="192" spans="3:10" x14ac:dyDescent="0.35">
      <c r="C192" t="str">
        <f ca="1">IFERROR(_xludf.XLOOKUP(B192,'Task Master'!A:A,'Task Master'!C:C),"")</f>
        <v/>
      </c>
      <c r="H192">
        <f t="shared" si="15"/>
        <v>0</v>
      </c>
      <c r="I192">
        <f t="shared" si="16"/>
        <v>1</v>
      </c>
      <c r="J192">
        <f t="shared" si="17"/>
        <v>1900</v>
      </c>
    </row>
    <row r="193" spans="3:10" x14ac:dyDescent="0.35">
      <c r="C193" t="str">
        <f ca="1">IFERROR(_xludf.XLOOKUP(B193,'Task Master'!A:A,'Task Master'!C:C),"")</f>
        <v/>
      </c>
      <c r="H193">
        <f t="shared" si="15"/>
        <v>0</v>
      </c>
      <c r="I193">
        <f t="shared" si="16"/>
        <v>1</v>
      </c>
      <c r="J193">
        <f t="shared" si="17"/>
        <v>1900</v>
      </c>
    </row>
    <row r="194" spans="3:10" x14ac:dyDescent="0.35">
      <c r="C194" t="str">
        <f ca="1">IFERROR(_xludf.XLOOKUP(B194,'Task Master'!A:A,'Task Master'!C:C),"")</f>
        <v/>
      </c>
      <c r="H194">
        <f t="shared" ref="H194:H199" si="18">WEEKNUM(A194)</f>
        <v>0</v>
      </c>
      <c r="I194">
        <f t="shared" ref="I194:I199" si="19">MONTH(A194)</f>
        <v>1</v>
      </c>
      <c r="J194">
        <f t="shared" ref="J194:J199" si="20">YEAR(A194)</f>
        <v>1900</v>
      </c>
    </row>
    <row r="195" spans="3:10" x14ac:dyDescent="0.35">
      <c r="C195" t="str">
        <f ca="1">IFERROR(_xludf.XLOOKUP(B195,'Task Master'!A:A,'Task Master'!C:C),"")</f>
        <v/>
      </c>
      <c r="H195">
        <f t="shared" si="18"/>
        <v>0</v>
      </c>
      <c r="I195">
        <f t="shared" si="19"/>
        <v>1</v>
      </c>
      <c r="J195">
        <f t="shared" si="20"/>
        <v>1900</v>
      </c>
    </row>
    <row r="196" spans="3:10" x14ac:dyDescent="0.35">
      <c r="C196" t="str">
        <f ca="1">IFERROR(_xludf.XLOOKUP(B196,'Task Master'!A:A,'Task Master'!C:C),"")</f>
        <v/>
      </c>
      <c r="H196">
        <f t="shared" si="18"/>
        <v>0</v>
      </c>
      <c r="I196">
        <f t="shared" si="19"/>
        <v>1</v>
      </c>
      <c r="J196">
        <f t="shared" si="20"/>
        <v>1900</v>
      </c>
    </row>
    <row r="197" spans="3:10" x14ac:dyDescent="0.35">
      <c r="C197" t="str">
        <f ca="1">IFERROR(_xludf.XLOOKUP(B197,'Task Master'!A:A,'Task Master'!C:C),"")</f>
        <v/>
      </c>
      <c r="H197">
        <f t="shared" si="18"/>
        <v>0</v>
      </c>
      <c r="I197">
        <f t="shared" si="19"/>
        <v>1</v>
      </c>
      <c r="J197">
        <f t="shared" si="20"/>
        <v>1900</v>
      </c>
    </row>
    <row r="198" spans="3:10" x14ac:dyDescent="0.35">
      <c r="C198" t="str">
        <f ca="1">IFERROR(_xludf.XLOOKUP(B198,'Task Master'!A:A,'Task Master'!C:C),"")</f>
        <v/>
      </c>
      <c r="H198">
        <f t="shared" si="18"/>
        <v>0</v>
      </c>
      <c r="I198">
        <f t="shared" si="19"/>
        <v>1</v>
      </c>
      <c r="J198">
        <f t="shared" si="20"/>
        <v>1900</v>
      </c>
    </row>
    <row r="199" spans="3:10" x14ac:dyDescent="0.35">
      <c r="C199" t="str">
        <f ca="1">IFERROR(_xludf.XLOOKUP(B199,'Task Master'!A:A,'Task Master'!C:C),"")</f>
        <v/>
      </c>
      <c r="H199">
        <f t="shared" si="18"/>
        <v>0</v>
      </c>
      <c r="I199">
        <f t="shared" si="19"/>
        <v>1</v>
      </c>
      <c r="J199">
        <f t="shared" si="20"/>
        <v>1900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D15" sqref="D15"/>
    </sheetView>
  </sheetViews>
  <sheetFormatPr defaultRowHeight="14.5" x14ac:dyDescent="0.35"/>
  <cols>
    <col min="1" max="1" width="27.81640625" bestFit="1" customWidth="1"/>
  </cols>
  <sheetData>
    <row r="1" spans="1:2" x14ac:dyDescent="0.35">
      <c r="A1" t="s">
        <v>18</v>
      </c>
      <c r="B1">
        <f>COUNTA('Task Master'!A2:A200)</f>
        <v>0</v>
      </c>
    </row>
    <row r="2" spans="1:2" x14ac:dyDescent="0.35">
      <c r="A2" t="s">
        <v>19</v>
      </c>
      <c r="B2">
        <f>COUNTIF('Task Master'!D2:D200,"Done")</f>
        <v>0</v>
      </c>
    </row>
    <row r="3" spans="1:2" x14ac:dyDescent="0.35">
      <c r="A3" t="s">
        <v>20</v>
      </c>
      <c r="B3">
        <f>COUNTIF('Task Master'!D2:D200,"In Progress")</f>
        <v>0</v>
      </c>
    </row>
    <row r="4" spans="1:2" x14ac:dyDescent="0.35">
      <c r="A4" t="s">
        <v>21</v>
      </c>
      <c r="B4">
        <f>COUNTIF('Task Master'!D2:D200,"Blocked")</f>
        <v>0</v>
      </c>
    </row>
    <row r="5" spans="1:2" x14ac:dyDescent="0.35">
      <c r="A5" t="s">
        <v>22</v>
      </c>
      <c r="B5">
        <f>SUM('Daily Log'!E2:E200)</f>
        <v>0</v>
      </c>
    </row>
    <row r="6" spans="1:2" x14ac:dyDescent="0.35">
      <c r="A6" t="s">
        <v>23</v>
      </c>
      <c r="B6">
        <f>COUNTIF('Task Master'!C2:C200, "Bug")</f>
        <v>0</v>
      </c>
    </row>
    <row r="7" spans="1:2" x14ac:dyDescent="0.35">
      <c r="A7" t="s">
        <v>24</v>
      </c>
      <c r="B7">
        <f>COUNTIF('Task Master'!C2:C200, "Feature")</f>
        <v>0</v>
      </c>
    </row>
    <row r="8" spans="1:2" x14ac:dyDescent="0.35">
      <c r="A8" t="s">
        <v>25</v>
      </c>
      <c r="B8">
        <f>COUNTIF('Task Master'!C2:C200, "Engineering")</f>
        <v>0</v>
      </c>
    </row>
    <row r="9" spans="1:2" x14ac:dyDescent="0.35">
      <c r="A9" t="s">
        <v>26</v>
      </c>
      <c r="B9">
        <f>COUNTIF('Task Master'!C2:C200, "DevOps")</f>
        <v>0</v>
      </c>
    </row>
    <row r="10" spans="1:2" x14ac:dyDescent="0.35">
      <c r="A10" t="s">
        <v>27</v>
      </c>
      <c r="B10">
        <f>COUNTIFS('Task Master'!C2:C200,"Bug",'Task Master'!D2:D200,"Done")</f>
        <v>0</v>
      </c>
    </row>
    <row r="11" spans="1:2" x14ac:dyDescent="0.35">
      <c r="A11" t="s">
        <v>28</v>
      </c>
      <c r="B11">
        <f>COUNTIFS('Task Master'!C2:C200,"Feature",'Task Master'!D2:D200,"Done")</f>
        <v>0</v>
      </c>
    </row>
    <row r="12" spans="1:2" x14ac:dyDescent="0.35">
      <c r="A12" t="s">
        <v>29</v>
      </c>
      <c r="B12">
        <f>COUNTIFS('Task Master'!C2:C200,"Engineering",'Task Master'!D2:D200,"Done")</f>
        <v>0</v>
      </c>
    </row>
    <row r="13" spans="1:2" x14ac:dyDescent="0.35">
      <c r="A13" t="s">
        <v>30</v>
      </c>
      <c r="B13">
        <f>SUMIF('Task Master'!C2:C200,"Bug",'Task Master'!I2:I200)</f>
        <v>0</v>
      </c>
    </row>
    <row r="14" spans="1:2" x14ac:dyDescent="0.35">
      <c r="A14" t="s">
        <v>31</v>
      </c>
      <c r="B14">
        <f>SUMIF('Task Master'!C2:C200,"Feature",'Task Master'!I2:I200)</f>
        <v>0</v>
      </c>
    </row>
    <row r="15" spans="1:2" x14ac:dyDescent="0.35">
      <c r="A15" t="s">
        <v>32</v>
      </c>
      <c r="B15" t="e">
        <f>B2/B1</f>
        <v>#DIV/0!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 Master</vt:lpstr>
      <vt:lpstr>Daily Log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Prasanna Venkatesh M</cp:lastModifiedBy>
  <dcterms:created xsi:type="dcterms:W3CDTF">2026-04-05T12:19:58Z</dcterms:created>
  <dcterms:modified xsi:type="dcterms:W3CDTF">2026-04-05T12:27:24Z</dcterms:modified>
</cp:coreProperties>
</file>